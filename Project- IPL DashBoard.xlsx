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camer\OneDrive\Desktop\"/>
    </mc:Choice>
  </mc:AlternateContent>
  <xr:revisionPtr revIDLastSave="0" documentId="13_ncr:1_{DC285B14-CDE4-4F3F-BA81-4F5953046102}" xr6:coauthVersionLast="47" xr6:coauthVersionMax="47" xr10:uidLastSave="{00000000-0000-0000-0000-000000000000}"/>
  <bookViews>
    <workbookView xWindow="-108" yWindow="-108" windowWidth="23256" windowHeight="14616" firstSheet="2" activeTab="2" xr2:uid="{2CF7B371-86D0-41ED-98FB-5A4DCBDCCB5A}"/>
  </bookViews>
  <sheets>
    <sheet name="fact_player" sheetId="6" r:id="rId1"/>
    <sheet name="Match_Summary" sheetId="9" r:id="rId2"/>
    <sheet name="Team Performance Dashboard" sheetId="14" r:id="rId3"/>
    <sheet name="Player_Summary" sheetId="13" r:id="rId4"/>
    <sheet name="Player Performance Dashboard" sheetId="15" r:id="rId5"/>
    <sheet name="Sheet6" sheetId="12" r:id="rId6"/>
    <sheet name="fact_match" sheetId="5" r:id="rId7"/>
    <sheet name="dim_venue" sheetId="4" r:id="rId8"/>
    <sheet name="dim_team" sheetId="3" r:id="rId9"/>
    <sheet name="dim_player" sheetId="2" r:id="rId10"/>
  </sheets>
  <definedNames>
    <definedName name="_xlcn.WorksheetConnection_Book1dim_player" hidden="1">dim_player[]</definedName>
    <definedName name="_xlcn.WorksheetConnection_Book1dim_team" hidden="1">dim_team[]</definedName>
    <definedName name="_xlcn.WorksheetConnection_Book1dim_venue" hidden="1">dim_venue[]</definedName>
    <definedName name="_xlcn.WorksheetConnection_Book1fact_match" hidden="1">fact_match[]</definedName>
    <definedName name="_xlcn.WorksheetConnection_Book1fact_player"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6" hidden="1">fact_match!$A$1:$N$61</definedName>
    <definedName name="ExternalData_5" localSheetId="0" hidden="1">fact_player!$A$1:$K$202</definedName>
    <definedName name="Slicer_Team_Name">#N/A</definedName>
    <definedName name="Slicer_Venue_Name">#N/A</definedName>
  </definedNames>
  <calcPr calcId="191029"/>
  <pivotCaches>
    <pivotCache cacheId="0" r:id="rId11"/>
    <pivotCache cacheId="13" r:id="rId12"/>
    <pivotCache cacheId="16" r:id="rId13"/>
    <pivotCache cacheId="19" r:id="rId14"/>
    <pivotCache cacheId="22" r:id="rId15"/>
    <pivotCache cacheId="25" r:id="rId16"/>
    <pivotCache cacheId="28" r:id="rId17"/>
    <pivotCache cacheId="31" r:id="rId18"/>
    <pivotCache cacheId="34" r:id="rId19"/>
    <pivotCache cacheId="37"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9" l="1"/>
  <c r="I3" i="14" s="1"/>
  <c r="F3" i="14"/>
  <c r="L3" i="14"/>
  <c r="O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366148-1DC6-4E05-A253-3E1258F81AB5}"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A733FA02-FB32-4D93-B72C-DDA4DC78BC19}"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3BDE1B91-1986-48AC-8630-E515D8B8F865}"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36FBB88A-35D7-4B3A-A7C2-3AF144167ABB}"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E7FA822E-2467-4F08-9FD8-A3C0B07DFF69}"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E81743AD-5D88-4D4A-B649-E80AE6F7AC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6066C4C-7B2B-47F9-B4E7-B49A70996019}"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
        </x15:connection>
      </ext>
    </extLst>
  </connection>
  <connection id="8" xr16:uid="{BF161A09-EE82-44B7-9A34-0B1734BCA441}"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
        </x15:connection>
      </ext>
    </extLst>
  </connection>
  <connection id="9" xr16:uid="{2595B840-2B45-4540-A548-DBE55BE8AC2C}"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
        </x15:connection>
      </ext>
    </extLst>
  </connection>
  <connection id="10" xr16:uid="{E91E6A29-5B31-4FEA-9C68-DB7B83EEB124}"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
        </x15:connection>
      </ext>
    </extLst>
  </connection>
  <connection id="11" xr16:uid="{1E4447F3-8D66-4A99-8DF4-6DB9D579E425}"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<sst xmlns="http://schemas.openxmlformats.org/spreadsheetml/2006/main" count="1699" uniqueCount="361">
  <si>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</si>
  <si>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</si>
  <si>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</si>
  <si>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</si>
  <si>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</si>
  <si>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</si>
  <si>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</si>
  <si>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</si>
  <si>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</si>
  <si>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</si>
  <si>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</si>
  <si>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</si>
  <si>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</si>
  <si>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</si>
  <si>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</si>
  <si>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</si>
  <si>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</si>
  <si>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</si>
  <si>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</si>
  <si>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</si>
  <si>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</si>
  <si>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</si>
  <si>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</si>
  <si>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</si>
  <si>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</si>
  <si>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</si>
  <si>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</si>
  <si>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</si>
  <si>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</si>
  <si>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</si>
  <si>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</si>
  <si>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</si>
  <si>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</si>
  <si>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</si>
  <si>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</si>
  <si>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</si>
  <si>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</si>
  <si>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</si>
  <si>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</si>
  <si>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</si>
  <si>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</si>
  <si>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</si>
  <si>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</si>
  <si>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</si>
  <si>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</si>
  <si>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</si>
  <si>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</si>
  <si>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</si>
  <si>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</si>
  <si>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</si>
  <si>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</si>
  <si>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</si>
  <si>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</si>
  <si>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</si>
  <si>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</si>
  <si>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</si>
  <si>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</si>
  <si>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</si>
  <si>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</si>
  <si>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</si>
  <si>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</si>
  <si>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</si>
  <si>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</si>
  <si>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</si>
  <si>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</si>
  <si>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</si>
  <si>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</si>
  <si>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</si>
  <si>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</si>
  <si>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</si>
  <si>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</si>
  <si>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</si>
  <si>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</si>
  <si>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</si>
  <si>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</si>
  <si>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</si>
  <si>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</si>
  <si>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</si>
  <si>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</si>
  <si>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</si>
  <si>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</si>
  <si>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</si>
  <si>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</si>
  <si>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</si>
  <si>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</si>
  <si>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</si>
  <si>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</si>
  <si>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</si>
  <si>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</si>
  <si>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</si>
  <si>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</si>
  <si>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</si>
  <si>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</si>
  <si>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</si>
  <si>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</si>
  <si>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</si>
  <si>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</si>
  <si>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</si>
  <si>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</si>
  <si>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</si>
  <si>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</si>
  <si>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</si>
  <si>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</si>
  <si>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</si>
  <si>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</si>
  <si>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</si>
  <si>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</si>
  <si>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</si>
  <si>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</si>
  <si>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</si>
  <si>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</si>
  <si>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</si>
  <si>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</si>
  <si>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</si>
  <si>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</si>
  <si>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</si>
  <si>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</si>
  <si>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</si>
  <si>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</si>
  <si>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</si>
  <si>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</si>
  <si>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</si>
  <si>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</si>
  <si>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</si>
  <si>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</si>
  <si>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</si>
  <si>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</si>
  <si>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</si>
  <si>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</si>
  <si>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</si>
  <si>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</si>
  <si>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</si>
  <si>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</si>
  <si>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</si>
  <si>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</si>
  <si>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</si>
  <si>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</si>
  <si>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</si>
  <si>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</si>
  <si>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</si>
  <si>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</si>
  <si>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</si>
  <si>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</si>
  <si>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</si>
  <si>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</si>
  <si>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</si>
  <si>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</si>
  <si>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</si>
  <si>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</si>
  <si>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</si>
  <si>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</si>
  <si>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</si>
  <si>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</si>
  <si>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</si>
  <si>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</si>
  <si>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</si>
  <si>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</si>
  <si>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</si>
  <si>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</si>
  <si>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</si>
  <si>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</si>
  <si>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</si>
  <si>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</si>
  <si>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</si>
  <si>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</si>
  <si>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</si>
  <si>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</si>
  <si>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</si>
  <si>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</si>
  <si>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</si>
  <si>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</si>
  <si>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</si>
  <si>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</si>
  <si>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</si>
  <si>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</si>
  <si>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</si>
  <si>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</si>
  <si>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</si>
  <si>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</si>
  <si>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</si>
  <si>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</si>
  <si>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</si>
  <si>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</si>
  <si>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</si>
  <si>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</si>
  <si>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</si>
  <si>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</si>
  <si>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</si>
  <si>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</si>
  <si>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</si>
  <si>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</si>
  <si>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</si>
  <si>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</si>
  <si>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</si>
  <si>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</si>
  <si>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</si>
  <si>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</si>
  <si>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</si>
  <si>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</si>
  <si>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</si>
  <si>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</si>
  <si>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</si>
  <si>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</si>
  <si>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</si>
  <si>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</si>
  <si>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</si>
  <si>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</si>
  <si>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</si>
  <si>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</si>
  <si>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</si>
  <si>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</si>
  <si>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</si>
  <si>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</si>
  <si>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</si>
  <si>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</si>
  <si>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</si>
  <si>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</si>
  <si>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</si>
  <si>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</si>
  <si>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</si>
  <si>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</si>
  <si>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</si>
  <si>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</si>
  <si>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</si>
  <si>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</si>
  <si>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</si>
  <si>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</si>
  <si>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</si>
  <si>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</si>
  <si>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</si>
  <si>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</si>
  <si>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</si>
  <si>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</si>
  <si>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</si>
  <si>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</si>
  <si>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</si>
  <si>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</si>
  <si>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</si>
  <si>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</si>
  <si>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</si>
  <si>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</si>
  <si>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</si>
  <si>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</si>
  <si>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</si>
  <si>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</si>
  <si>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</si>
  <si>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</si>
  <si>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</si>
  <si>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</si>
  <si>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</si>
  <si>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</si>
  <si>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</si>
  <si>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</si>
  <si>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</si>
  <si>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</si>
  <si>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</si>
  <si>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</si>
  <si>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</si>
  <si>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</si>
  <si>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</si>
  <si>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</si>
  <si>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</si>
  <si>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</si>
  <si>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</si>
  <si>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</si>
  <si>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</si>
  <si>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</si>
  <si>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</si>
  <si>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</si>
  <si>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</si>
  <si>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</si>
  <si>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</si>
  <si>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</si>
  <si>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</si>
  <si>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</si>
  <si>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</si>
  <si>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</si>
  <si>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</si>
  <si>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</si>
  <si>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</si>
  <si>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</si>
  <si>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</si>
  <si>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</si>
  <si>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</si>
  <si>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</si>
  <si>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</si>
  <si>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</si>
  <si>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</si>
  <si>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</si>
  <si>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</si>
  <si>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</si>
  <si>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</si>
  <si>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</si>
  <si>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</si>
  <si>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</si>
  <si>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</si>
  <si>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</si>
  <si>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</si>
  <si>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</si>
  <si>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</si>
  <si>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</si>
  <si>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</si>
  <si>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</si>
  <si>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</si>
  <si>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</si>
  <si>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</si>
  <si>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</si>
  <si>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</si>
  <si>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</si>
  <si>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</si>
  <si>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</si>
  <si>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</si>
  <si>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</si>
  <si>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</si>
  <si>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</si>
  <si>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</si>
  <si>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</si>
  <si>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</si>
  <si>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</si>
  <si>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</si>
  <si>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</si>
  <si>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</si>
  <si>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</si>
  <si>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</si>
  <si>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</si>
  <si>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</si>
  <si>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</si>
  <si>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</si>
  <si>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</si>
  <si>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</si>
  <si>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</si>
  <si>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</si>
  <si>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</si>
  <si>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</si>
  <si>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</si>
  <si>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</si>
  <si>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</si>
  <si>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</si>
  <si>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Column1</t>
  </si>
  <si>
    <t>(blank)</t>
  </si>
  <si>
    <t>Grand Total</t>
  </si>
  <si>
    <t>Total_Wickets</t>
  </si>
  <si>
    <t>Team Name</t>
  </si>
  <si>
    <t>Total_Matches</t>
  </si>
  <si>
    <t>Total_Wins</t>
  </si>
  <si>
    <t>Total_Runs</t>
  </si>
  <si>
    <t>Sum of Wickets</t>
  </si>
  <si>
    <t>Total_  Runs</t>
  </si>
  <si>
    <t>Win By Runs</t>
  </si>
  <si>
    <t>Win by Wickets</t>
  </si>
  <si>
    <t>Win Types</t>
  </si>
  <si>
    <t>Count of Team_ID</t>
  </si>
  <si>
    <t>s</t>
  </si>
  <si>
    <t>Total Matches</t>
  </si>
  <si>
    <t>Total Teams</t>
  </si>
  <si>
    <t>Total Runs</t>
  </si>
  <si>
    <t>Total Wickets</t>
  </si>
  <si>
    <t>Player  Name</t>
  </si>
  <si>
    <t>PlayerAvgStrikeRate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</si>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</sst>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6"/>
      <color theme="1"/>
      <name val="Aptos Narrow"/>
      <family val="2"/>
      <scheme val="minor"/>
    </font>
    <font>
      <sz val="22"/>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CCECFF"/>
        <bgColor indexed="64"/>
      </patternFill>
    </fill>
    <fill>
      <patternFill patternType="solid">
        <fgColor rgb="FFFFCCFF"/>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8">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applyAlignment="1">
      <alignment horizontal="left" indent="2"/>
    </xf>
    <xf numFmtId="0" fontId="1" fillId="2" borderId="11" xfId="0" applyFont="1" applyFill="1" applyBorder="1"/>
    <xf numFmtId="0" fontId="0" fillId="3" borderId="0" xfId="0" applyFill="1"/>
    <xf numFmtId="0" fontId="1" fillId="0" borderId="11" xfId="0" applyFont="1" applyBorder="1" applyAlignment="1">
      <alignment horizontal="left"/>
    </xf>
    <xf numFmtId="0" fontId="1" fillId="0" borderId="11" xfId="0" applyFont="1" applyBorder="1"/>
    <xf numFmtId="0" fontId="1" fillId="2" borderId="10" xfId="0" applyFont="1" applyFill="1" applyBorder="1" applyAlignment="1">
      <alignment horizontal="left"/>
    </xf>
    <xf numFmtId="0" fontId="1" fillId="2" borderId="10" xfId="0" applyFont="1" applyFill="1" applyBorder="1"/>
    <xf numFmtId="4" fontId="0" fillId="0" borderId="0" xfId="0" applyNumberFormat="1"/>
    <xf numFmtId="0" fontId="0" fillId="4" borderId="0" xfId="0" applyFill="1"/>
    <xf numFmtId="0" fontId="2"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center" vertical="center"/>
    </xf>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55A823A6-1351-4D00-8088-A9D8124AF02F}"/>
  </tableStyles>
  <colors>
    <mruColors>
      <color rgb="FFFFCCFF"/>
      <color rgb="FFCCEC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9" Type="http://schemas.openxmlformats.org/officeDocument/2006/relationships/customXml" Target="../customXml/item6.xml"/><Relationship Id="rId21" Type="http://schemas.openxmlformats.org/officeDocument/2006/relationships/pivotCacheDefinition" Target="pivotCache/pivotCacheDefinition1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17/06/relationships/rdRichValue" Target="richData/rdrichvalue.xml"/><Relationship Id="rId11" Type="http://schemas.openxmlformats.org/officeDocument/2006/relationships/pivotCacheDefinition" Target="pivotCache/pivotCacheDefinition1.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10.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Match_Summary!$B$15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Match_Summary!$A$16:$A$25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Match_Summary!$B$16:$B$25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3E0E-4D31-8D3B-0F27C4D1C980}"/>
            </c:ext>
          </c:extLst>
        </c:ser>
        <c:dLbls>
          <c:showLegendKey val="0"/>
          <c:showVal val="1"/>
          <c:showCatName val="0"/>
          <c:showSerName val="0"/>
          <c:showPercent val="0"/>
          <c:showBubbleSize val="0"/>
        </c:dLbls>
        <c:gapWidth val="150"/>
        <c:shape val="box"/>
        <c:axId val="2022551008"/>
        <c:axId val="1908475104"/>
        <c:axId val="0"/>
      </c:bar3DChart>
      <c:catAx>
        <c:axId val="202255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75104"/>
        <c:crosses val="autoZero"/>
        <c:auto val="1"/>
        <c:lblAlgn val="ctr"/>
        <c:lblOffset val="100"/>
        <c:noMultiLvlLbl val="0"/>
      </c:catAx>
      <c:valAx>
        <c:axId val="190847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55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Match_Summary!$J$3</c:f>
              <c:strCache>
                <c:ptCount val="1"/>
                <c:pt idx="0">
                  <c:v>Total</c:v>
                </c:pt>
              </c:strCache>
            </c:strRef>
          </c:tx>
          <c:spPr>
            <a:solidFill>
              <a:schemeClr val="accent2"/>
            </a:solidFill>
            <a:ln>
              <a:noFill/>
            </a:ln>
            <a:effectLst/>
            <a:sp3d/>
          </c:spPr>
          <c:invertIfNegative val="0"/>
          <c:cat>
            <c:strRef>
              <c:f>Match_Summary!$I$4:$I$12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Match_Summary!$J$4:$J$12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2-B06A-41DF-8E5B-62D599678503}"/>
            </c:ext>
          </c:extLst>
        </c:ser>
        <c:dLbls>
          <c:showLegendKey val="0"/>
          <c:showVal val="0"/>
          <c:showCatName val="0"/>
          <c:showSerName val="0"/>
          <c:showPercent val="0"/>
          <c:showBubbleSize val="0"/>
        </c:dLbls>
        <c:gapWidth val="150"/>
        <c:shape val="box"/>
        <c:axId val="1738619311"/>
        <c:axId val="1738640911"/>
        <c:axId val="0"/>
      </c:bar3DChart>
      <c:catAx>
        <c:axId val="1738619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40911"/>
        <c:crosses val="autoZero"/>
        <c:auto val="1"/>
        <c:lblAlgn val="ctr"/>
        <c:lblOffset val="100"/>
        <c:noMultiLvlLbl val="0"/>
      </c:catAx>
      <c:valAx>
        <c:axId val="1738640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Match_Summary!$M$3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769-480B-A498-E582427B3CE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769-480B-A498-E582427B3C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Match_Summary!$L$4:$L$6</c:f>
              <c:strCache>
                <c:ptCount val="2"/>
                <c:pt idx="0">
                  <c:v>Win By Runs</c:v>
                </c:pt>
                <c:pt idx="1">
                  <c:v>Win by Wickets</c:v>
                </c:pt>
              </c:strCache>
            </c:strRef>
          </c:cat>
          <c:val>
            <c:numRef>
              <c:f>Match_Summary!$M$4:$M$6</c:f>
              <c:numCache>
                <c:formatCode>0</c:formatCode>
                <c:ptCount val="2"/>
                <c:pt idx="0">
                  <c:v>13297</c:v>
                </c:pt>
                <c:pt idx="1">
                  <c:v>7647</c:v>
                </c:pt>
              </c:numCache>
            </c:numRef>
          </c:val>
          <c:extLst>
            <c:ext xmlns:c16="http://schemas.microsoft.com/office/drawing/2014/chart" uri="{C3380CC4-5D6E-409C-BE32-E72D297353CC}">
              <c16:uniqueId val="{00000002-864C-471B-87B9-5711205FD1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Match_Summary!$B$28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2C-4ED1-BC66-2D1A001119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2C-4ED1-BC66-2D1A001119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2C-4ED1-BC66-2D1A001119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2C-4ED1-BC66-2D1A001119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2C-4ED1-BC66-2D1A001119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02C-4ED1-BC66-2D1A0011196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02C-4ED1-BC66-2D1A001119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02C-4ED1-BC66-2D1A0011196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02C-4ED1-BC66-2D1A001119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Match_Summary!$A$29:$A$38</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Match_Summary!$B$29:$B$38</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2-F9F4-4081-8BD9-D383041079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Match_Summary!$M$3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47E-44FD-A7B8-8633AAD14DD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47E-44FD-A7B8-8633AAD14D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Match_Summary!$L$4:$L$6</c:f>
              <c:strCache>
                <c:ptCount val="2"/>
                <c:pt idx="0">
                  <c:v>Win By Runs</c:v>
                </c:pt>
                <c:pt idx="1">
                  <c:v>Win by Wickets</c:v>
                </c:pt>
              </c:strCache>
            </c:strRef>
          </c:cat>
          <c:val>
            <c:numRef>
              <c:f>Match_Summary!$M$4:$M$6</c:f>
              <c:numCache>
                <c:formatCode>0</c:formatCode>
                <c:ptCount val="2"/>
                <c:pt idx="0">
                  <c:v>13297</c:v>
                </c:pt>
                <c:pt idx="1">
                  <c:v>7647</c:v>
                </c:pt>
              </c:numCache>
            </c:numRef>
          </c:val>
          <c:extLst>
            <c:ext xmlns:c16="http://schemas.microsoft.com/office/drawing/2014/chart" uri="{C3380CC4-5D6E-409C-BE32-E72D297353CC}">
              <c16:uniqueId val="{00000005-19D3-43CB-95B3-944812C79B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Match_Summary!$B$15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Match_Summary!$A$16:$A$25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Match_Summary!$B$16:$B$25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3836-418B-9604-7984D11C0C8D}"/>
            </c:ext>
          </c:extLst>
        </c:ser>
        <c:dLbls>
          <c:showLegendKey val="0"/>
          <c:showVal val="1"/>
          <c:showCatName val="0"/>
          <c:showSerName val="0"/>
          <c:showPercent val="0"/>
          <c:showBubbleSize val="0"/>
        </c:dLbls>
        <c:gapWidth val="150"/>
        <c:shape val="box"/>
        <c:axId val="2022551008"/>
        <c:axId val="1908475104"/>
        <c:axId val="0"/>
      </c:bar3DChart>
      <c:catAx>
        <c:axId val="202255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75104"/>
        <c:crosses val="autoZero"/>
        <c:auto val="1"/>
        <c:lblAlgn val="ctr"/>
        <c:lblOffset val="100"/>
        <c:noMultiLvlLbl val="0"/>
      </c:catAx>
      <c:valAx>
        <c:axId val="190847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55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Match_Summary!$J$3</c:f>
              <c:strCache>
                <c:ptCount val="1"/>
                <c:pt idx="0">
                  <c:v>Total</c:v>
                </c:pt>
              </c:strCache>
            </c:strRef>
          </c:tx>
          <c:spPr>
            <a:solidFill>
              <a:schemeClr val="accent2"/>
            </a:solidFill>
            <a:ln>
              <a:noFill/>
            </a:ln>
            <a:effectLst/>
            <a:sp3d/>
          </c:spPr>
          <c:invertIfNegative val="0"/>
          <c:cat>
            <c:strRef>
              <c:f>Match_Summary!$I$4:$I$12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Match_Summary!$J$4:$J$12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1-FB2E-42ED-A956-1B1AD4DD9875}"/>
            </c:ext>
          </c:extLst>
        </c:ser>
        <c:dLbls>
          <c:showLegendKey val="0"/>
          <c:showVal val="0"/>
          <c:showCatName val="0"/>
          <c:showSerName val="0"/>
          <c:showPercent val="0"/>
          <c:showBubbleSize val="0"/>
        </c:dLbls>
        <c:gapWidth val="150"/>
        <c:shape val="box"/>
        <c:axId val="1738619311"/>
        <c:axId val="1738640911"/>
        <c:axId val="0"/>
      </c:bar3DChart>
      <c:catAx>
        <c:axId val="1738619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40911"/>
        <c:crosses val="autoZero"/>
        <c:auto val="1"/>
        <c:lblAlgn val="ctr"/>
        <c:lblOffset val="100"/>
        <c:noMultiLvlLbl val="0"/>
      </c:catAx>
      <c:valAx>
        <c:axId val="1738640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DashBoard.xlsx]Match_Summary!PivotTable2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Match_Summary!$B$28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59-4C34-844E-C5D70FAAC0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59-4C34-844E-C5D70FAAC0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59-4C34-844E-C5D70FAAC0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59-4C34-844E-C5D70FAAC0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59-4C34-844E-C5D70FAAC0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59-4C34-844E-C5D70FAAC0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559-4C34-844E-C5D70FAAC0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559-4C34-844E-C5D70FAAC0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559-4C34-844E-C5D70FAAC0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Match_Summary!$A$29:$A$38</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Match_Summary!$B$29:$B$38</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13-4932-4DC0-BE83-44A9A8026C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Player_Summary!$J$3</c:f>
              <c:strCache>
                <c:ptCount val="1"/>
                <c:pt idx="0">
                  <c:v>Total_  Runs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Player_Summary!$I$4:$I$36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Player_Summary!$J$4:$J$36</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E9F5-42E4-BB67-70F9EDFDD64A}"/>
            </c:ext>
          </c:extLst>
        </c:ser>
        <c:dLbls>
          <c:dLblPos val="t"/>
          <c:showLegendKey val="0"/>
          <c:showVal val="1"/>
          <c:showCatName val="0"/>
          <c:showSerName val="0"/>
          <c:showPercent val="0"/>
          <c:showBubbleSize val="0"/>
        </c:dLbls>
        <c:marker val="1"/>
        <c:smooth val="0"/>
        <c:axId val="174789024"/>
        <c:axId val="174786144"/>
      </c:lineChart>
      <c:catAx>
        <c:axId val="1747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6144"/>
        <c:crosses val="autoZero"/>
        <c:auto val="1"/>
        <c:lblAlgn val="ctr"/>
        <c:lblOffset val="100"/>
        <c:noMultiLvlLbl val="0"/>
      </c:catAx>
      <c:valAx>
        <c:axId val="17478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IPL DashBoard.xlsx]Player_Summary!PivotTable7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Player_Summary!$A$41:$A$229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Player_Summary!$B$41:$B$229</c:f>
              <c:numCache>
                <c:formatCode>General</c:formatCode>
                <c:ptCount val="1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c:v>
                </c:pt>
                <c:pt idx="16">
                  <c:v>2</c:v>
                </c:pt>
                <c:pt idx="17">
                  <c:v>1</c:v>
                </c:pt>
                <c:pt idx="18">
                  <c:v>2</c:v>
                </c:pt>
                <c:pt idx="19">
                  <c:v>3</c:v>
                </c:pt>
                <c:pt idx="20">
                  <c:v>8</c:v>
                </c:pt>
                <c:pt idx="21">
                  <c:v>3</c:v>
                </c:pt>
                <c:pt idx="22">
                  <c:v>1</c:v>
                </c:pt>
                <c:pt idx="23">
                  <c:v>5</c:v>
                </c:pt>
                <c:pt idx="24">
                  <c:v>0</c:v>
                </c:pt>
                <c:pt idx="25">
                  <c:v>0</c:v>
                </c:pt>
                <c:pt idx="26">
                  <c:v>0</c:v>
                </c:pt>
                <c:pt idx="27">
                  <c:v>0</c:v>
                </c:pt>
                <c:pt idx="28">
                  <c:v>1</c:v>
                </c:pt>
                <c:pt idx="29">
                  <c:v>2</c:v>
                </c:pt>
                <c:pt idx="30">
                  <c:v>2</c:v>
                </c:pt>
                <c:pt idx="31">
                  <c:v>5</c:v>
                </c:pt>
                <c:pt idx="32">
                  <c:v>2</c:v>
                </c:pt>
                <c:pt idx="33">
                  <c:v>1</c:v>
                </c:pt>
                <c:pt idx="34">
                  <c:v>2</c:v>
                </c:pt>
                <c:pt idx="35">
                  <c:v>1</c:v>
                </c:pt>
                <c:pt idx="36">
                  <c:v>10</c:v>
                </c:pt>
                <c:pt idx="37">
                  <c:v>0</c:v>
                </c:pt>
                <c:pt idx="38">
                  <c:v>0</c:v>
                </c:pt>
                <c:pt idx="39">
                  <c:v>0</c:v>
                </c:pt>
                <c:pt idx="40">
                  <c:v>0</c:v>
                </c:pt>
                <c:pt idx="41">
                  <c:v>0</c:v>
                </c:pt>
                <c:pt idx="42">
                  <c:v>0</c:v>
                </c:pt>
                <c:pt idx="43">
                  <c:v>0</c:v>
                </c:pt>
                <c:pt idx="44">
                  <c:v>0</c:v>
                </c:pt>
                <c:pt idx="45">
                  <c:v>0</c:v>
                </c:pt>
                <c:pt idx="46">
                  <c:v>2</c:v>
                </c:pt>
                <c:pt idx="47">
                  <c:v>1</c:v>
                </c:pt>
                <c:pt idx="48">
                  <c:v>1</c:v>
                </c:pt>
                <c:pt idx="49">
                  <c:v>3</c:v>
                </c:pt>
                <c:pt idx="50">
                  <c:v>2</c:v>
                </c:pt>
                <c:pt idx="51">
                  <c:v>0</c:v>
                </c:pt>
                <c:pt idx="52">
                  <c:v>0</c:v>
                </c:pt>
                <c:pt idx="53">
                  <c:v>0</c:v>
                </c:pt>
                <c:pt idx="54">
                  <c:v>4</c:v>
                </c:pt>
                <c:pt idx="55">
                  <c:v>3</c:v>
                </c:pt>
                <c:pt idx="56">
                  <c:v>0</c:v>
                </c:pt>
                <c:pt idx="57">
                  <c:v>4</c:v>
                </c:pt>
                <c:pt idx="58">
                  <c:v>1</c:v>
                </c:pt>
                <c:pt idx="59">
                  <c:v>4</c:v>
                </c:pt>
                <c:pt idx="60">
                  <c:v>1</c:v>
                </c:pt>
                <c:pt idx="61">
                  <c:v>7</c:v>
                </c:pt>
                <c:pt idx="62">
                  <c:v>3</c:v>
                </c:pt>
                <c:pt idx="63">
                  <c:v>7</c:v>
                </c:pt>
                <c:pt idx="64">
                  <c:v>0</c:v>
                </c:pt>
                <c:pt idx="65">
                  <c:v>2</c:v>
                </c:pt>
                <c:pt idx="66">
                  <c:v>0</c:v>
                </c:pt>
                <c:pt idx="67">
                  <c:v>0</c:v>
                </c:pt>
                <c:pt idx="68">
                  <c:v>0</c:v>
                </c:pt>
                <c:pt idx="69">
                  <c:v>2</c:v>
                </c:pt>
                <c:pt idx="70">
                  <c:v>1</c:v>
                </c:pt>
                <c:pt idx="71">
                  <c:v>3</c:v>
                </c:pt>
                <c:pt idx="72">
                  <c:v>0</c:v>
                </c:pt>
                <c:pt idx="73">
                  <c:v>0</c:v>
                </c:pt>
                <c:pt idx="74">
                  <c:v>0</c:v>
                </c:pt>
                <c:pt idx="75">
                  <c:v>0</c:v>
                </c:pt>
                <c:pt idx="76">
                  <c:v>1</c:v>
                </c:pt>
                <c:pt idx="77">
                  <c:v>5</c:v>
                </c:pt>
                <c:pt idx="78">
                  <c:v>3</c:v>
                </c:pt>
                <c:pt idx="79">
                  <c:v>3</c:v>
                </c:pt>
                <c:pt idx="80">
                  <c:v>2</c:v>
                </c:pt>
                <c:pt idx="81">
                  <c:v>11</c:v>
                </c:pt>
                <c:pt idx="82">
                  <c:v>0</c:v>
                </c:pt>
                <c:pt idx="83">
                  <c:v>0</c:v>
                </c:pt>
                <c:pt idx="84">
                  <c:v>0</c:v>
                </c:pt>
                <c:pt idx="85">
                  <c:v>0</c:v>
                </c:pt>
                <c:pt idx="86">
                  <c:v>0</c:v>
                </c:pt>
                <c:pt idx="87">
                  <c:v>0</c:v>
                </c:pt>
                <c:pt idx="88">
                  <c:v>3</c:v>
                </c:pt>
                <c:pt idx="89">
                  <c:v>3</c:v>
                </c:pt>
                <c:pt idx="90">
                  <c:v>0</c:v>
                </c:pt>
                <c:pt idx="91">
                  <c:v>0</c:v>
                </c:pt>
                <c:pt idx="92">
                  <c:v>0</c:v>
                </c:pt>
                <c:pt idx="93">
                  <c:v>0</c:v>
                </c:pt>
                <c:pt idx="94">
                  <c:v>3</c:v>
                </c:pt>
                <c:pt idx="95">
                  <c:v>1</c:v>
                </c:pt>
                <c:pt idx="96">
                  <c:v>0</c:v>
                </c:pt>
                <c:pt idx="97">
                  <c:v>1</c:v>
                </c:pt>
                <c:pt idx="98">
                  <c:v>0</c:v>
                </c:pt>
                <c:pt idx="99">
                  <c:v>3</c:v>
                </c:pt>
                <c:pt idx="100">
                  <c:v>1</c:v>
                </c:pt>
                <c:pt idx="101">
                  <c:v>1</c:v>
                </c:pt>
                <c:pt idx="102">
                  <c:v>4</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4</c:v>
                </c:pt>
                <c:pt idx="117">
                  <c:v>1</c:v>
                </c:pt>
                <c:pt idx="118">
                  <c:v>8</c:v>
                </c:pt>
                <c:pt idx="119">
                  <c:v>4</c:v>
                </c:pt>
                <c:pt idx="120">
                  <c:v>4</c:v>
                </c:pt>
                <c:pt idx="121">
                  <c:v>7</c:v>
                </c:pt>
              </c:numCache>
            </c:numRef>
          </c:val>
          <c:smooth val="0"/>
          <c:extLst>
            <c:ext xmlns:c16="http://schemas.microsoft.com/office/drawing/2014/chart" uri="{C3380CC4-5D6E-409C-BE32-E72D297353CC}">
              <c16:uniqueId val="{00000002-1FAF-448D-B4CC-52C9EA2AEF8B}"/>
            </c:ext>
          </c:extLst>
        </c:ser>
        <c:dLbls>
          <c:dLblPos val="t"/>
          <c:showLegendKey val="0"/>
          <c:showVal val="1"/>
          <c:showCatName val="0"/>
          <c:showSerName val="0"/>
          <c:showPercent val="0"/>
          <c:showBubbleSize val="0"/>
        </c:dLbls>
        <c:marker val="1"/>
        <c:smooth val="0"/>
        <c:axId val="443417151"/>
        <c:axId val="443419551"/>
      </c:lineChart>
      <c:catAx>
        <c:axId val="4434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9551"/>
        <c:crosses val="autoZero"/>
        <c:auto val="1"/>
        <c:lblAlgn val="ctr"/>
        <c:lblOffset val="100"/>
        <c:noMultiLvlLbl val="0"/>
      </c:catAx>
      <c:valAx>
        <c:axId val="44341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DashBoard.xlsx]Player_Summary!PivotTable8</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Player_Summary!$J$40</c:f>
              <c:strCache>
                <c:ptCount val="1"/>
                <c:pt idx="0">
                  <c:v>PlayerAvgStrikeRate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Player_Summary!$I$41:$I$229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Player_Summary!$J$41:$J$229</c:f>
              <c:numCache>
                <c:formatCode>#,##0.00</c:formatCode>
                <c:ptCount val="122"/>
                <c:pt idx="0">
                  <c:v>136.36000000000001</c:v>
                </c:pt>
                <c:pt idx="1">
                  <c:v>150</c:v>
                </c:pt>
                <c:pt idx="2">
                  <c:v>150</c:v>
                </c:pt>
                <c:pt idx="3">
                  <c:v>150</c:v>
                </c:pt>
                <c:pt idx="4">
                  <c:v>161.905</c:v>
                </c:pt>
                <c:pt idx="5">
                  <c:v>154.81666666666666</c:v>
                </c:pt>
                <c:pt idx="6">
                  <c:v>71.430000000000007</c:v>
                </c:pt>
                <c:pt idx="7">
                  <c:v>133.33000000000001</c:v>
                </c:pt>
                <c:pt idx="8">
                  <c:v>148.81</c:v>
                </c:pt>
                <c:pt idx="9">
                  <c:v>133.33000000000001</c:v>
                </c:pt>
                <c:pt idx="10">
                  <c:v>168.47833333333332</c:v>
                </c:pt>
                <c:pt idx="11">
                  <c:v>156.66499999999999</c:v>
                </c:pt>
                <c:pt idx="12">
                  <c:v>157.13999999999999</c:v>
                </c:pt>
                <c:pt idx="13">
                  <c:v>125</c:v>
                </c:pt>
                <c:pt idx="14">
                  <c:v>128.57</c:v>
                </c:pt>
                <c:pt idx="15">
                  <c:v>0</c:v>
                </c:pt>
                <c:pt idx="16">
                  <c:v>0</c:v>
                </c:pt>
                <c:pt idx="17">
                  <c:v>0</c:v>
                </c:pt>
                <c:pt idx="18">
                  <c:v>0</c:v>
                </c:pt>
                <c:pt idx="19">
                  <c:v>0</c:v>
                </c:pt>
                <c:pt idx="20">
                  <c:v>0</c:v>
                </c:pt>
                <c:pt idx="21">
                  <c:v>0</c:v>
                </c:pt>
                <c:pt idx="22">
                  <c:v>0</c:v>
                </c:pt>
                <c:pt idx="23">
                  <c:v>0</c:v>
                </c:pt>
                <c:pt idx="24">
                  <c:v>173.33</c:v>
                </c:pt>
                <c:pt idx="25">
                  <c:v>50</c:v>
                </c:pt>
                <c:pt idx="26">
                  <c:v>133.33000000000001</c:v>
                </c:pt>
                <c:pt idx="27">
                  <c:v>154.76333333333335</c:v>
                </c:pt>
                <c:pt idx="28">
                  <c:v>0</c:v>
                </c:pt>
                <c:pt idx="29">
                  <c:v>0</c:v>
                </c:pt>
                <c:pt idx="30">
                  <c:v>0</c:v>
                </c:pt>
                <c:pt idx="31">
                  <c:v>0</c:v>
                </c:pt>
                <c:pt idx="32">
                  <c:v>180</c:v>
                </c:pt>
                <c:pt idx="33">
                  <c:v>150</c:v>
                </c:pt>
                <c:pt idx="34">
                  <c:v>180</c:v>
                </c:pt>
                <c:pt idx="35">
                  <c:v>125</c:v>
                </c:pt>
                <c:pt idx="36">
                  <c:v>185.41749999999999</c:v>
                </c:pt>
                <c:pt idx="37">
                  <c:v>183.33</c:v>
                </c:pt>
                <c:pt idx="38">
                  <c:v>183.33</c:v>
                </c:pt>
                <c:pt idx="39">
                  <c:v>162.5</c:v>
                </c:pt>
                <c:pt idx="40">
                  <c:v>161.11500000000001</c:v>
                </c:pt>
                <c:pt idx="41">
                  <c:v>169.23</c:v>
                </c:pt>
                <c:pt idx="42">
                  <c:v>154.55000000000001</c:v>
                </c:pt>
                <c:pt idx="43">
                  <c:v>85.71</c:v>
                </c:pt>
                <c:pt idx="44">
                  <c:v>169.23</c:v>
                </c:pt>
                <c:pt idx="45">
                  <c:v>171.39000000000001</c:v>
                </c:pt>
                <c:pt idx="46">
                  <c:v>0</c:v>
                </c:pt>
                <c:pt idx="47">
                  <c:v>0</c:v>
                </c:pt>
                <c:pt idx="48">
                  <c:v>0</c:v>
                </c:pt>
                <c:pt idx="49">
                  <c:v>0</c:v>
                </c:pt>
                <c:pt idx="50">
                  <c:v>0</c:v>
                </c:pt>
                <c:pt idx="51">
                  <c:v>162.5</c:v>
                </c:pt>
                <c:pt idx="52">
                  <c:v>154.16499999999999</c:v>
                </c:pt>
                <c:pt idx="53">
                  <c:v>168.30666666666667</c:v>
                </c:pt>
                <c:pt idx="54">
                  <c:v>188.19499999999999</c:v>
                </c:pt>
                <c:pt idx="55">
                  <c:v>188.89</c:v>
                </c:pt>
                <c:pt idx="56">
                  <c:v>166.67</c:v>
                </c:pt>
                <c:pt idx="57">
                  <c:v>193.33333333333334</c:v>
                </c:pt>
                <c:pt idx="58">
                  <c:v>0</c:v>
                </c:pt>
                <c:pt idx="59">
                  <c:v>0</c:v>
                </c:pt>
                <c:pt idx="60">
                  <c:v>0</c:v>
                </c:pt>
                <c:pt idx="61">
                  <c:v>0</c:v>
                </c:pt>
                <c:pt idx="62">
                  <c:v>0</c:v>
                </c:pt>
                <c:pt idx="63">
                  <c:v>0</c:v>
                </c:pt>
                <c:pt idx="64">
                  <c:v>200</c:v>
                </c:pt>
                <c:pt idx="65">
                  <c:v>0</c:v>
                </c:pt>
                <c:pt idx="66">
                  <c:v>165</c:v>
                </c:pt>
                <c:pt idx="67">
                  <c:v>170</c:v>
                </c:pt>
                <c:pt idx="68">
                  <c:v>200</c:v>
                </c:pt>
                <c:pt idx="69">
                  <c:v>145</c:v>
                </c:pt>
                <c:pt idx="70">
                  <c:v>138.88999999999999</c:v>
                </c:pt>
                <c:pt idx="71">
                  <c:v>163.33500000000001</c:v>
                </c:pt>
                <c:pt idx="72">
                  <c:v>200</c:v>
                </c:pt>
                <c:pt idx="73">
                  <c:v>200</c:v>
                </c:pt>
                <c:pt idx="74">
                  <c:v>183.33</c:v>
                </c:pt>
                <c:pt idx="75">
                  <c:v>187.7475</c:v>
                </c:pt>
                <c:pt idx="76">
                  <c:v>0</c:v>
                </c:pt>
                <c:pt idx="77">
                  <c:v>0</c:v>
                </c:pt>
                <c:pt idx="78">
                  <c:v>0</c:v>
                </c:pt>
                <c:pt idx="79">
                  <c:v>0</c:v>
                </c:pt>
                <c:pt idx="80">
                  <c:v>0</c:v>
                </c:pt>
                <c:pt idx="81">
                  <c:v>0</c:v>
                </c:pt>
                <c:pt idx="82">
                  <c:v>85.71</c:v>
                </c:pt>
                <c:pt idx="83">
                  <c:v>166.67</c:v>
                </c:pt>
                <c:pt idx="84">
                  <c:v>142.86000000000001</c:v>
                </c:pt>
                <c:pt idx="85">
                  <c:v>167.69</c:v>
                </c:pt>
                <c:pt idx="86">
                  <c:v>162.5</c:v>
                </c:pt>
                <c:pt idx="87">
                  <c:v>179.00749999999999</c:v>
                </c:pt>
                <c:pt idx="88">
                  <c:v>0</c:v>
                </c:pt>
                <c:pt idx="89">
                  <c:v>0</c:v>
                </c:pt>
                <c:pt idx="90">
                  <c:v>140</c:v>
                </c:pt>
                <c:pt idx="91">
                  <c:v>154.76499999999999</c:v>
                </c:pt>
                <c:pt idx="92">
                  <c:v>166.67</c:v>
                </c:pt>
                <c:pt idx="93">
                  <c:v>156.25</c:v>
                </c:pt>
                <c:pt idx="94">
                  <c:v>0</c:v>
                </c:pt>
                <c:pt idx="95">
                  <c:v>75</c:v>
                </c:pt>
                <c:pt idx="96">
                  <c:v>166.67</c:v>
                </c:pt>
                <c:pt idx="97">
                  <c:v>0</c:v>
                </c:pt>
                <c:pt idx="98">
                  <c:v>177.38</c:v>
                </c:pt>
                <c:pt idx="99">
                  <c:v>0</c:v>
                </c:pt>
                <c:pt idx="100">
                  <c:v>138.88999999999999</c:v>
                </c:pt>
                <c:pt idx="101">
                  <c:v>0</c:v>
                </c:pt>
                <c:pt idx="102">
                  <c:v>0</c:v>
                </c:pt>
                <c:pt idx="103">
                  <c:v>188.89</c:v>
                </c:pt>
                <c:pt idx="104">
                  <c:v>139.17500000000001</c:v>
                </c:pt>
                <c:pt idx="105">
                  <c:v>125</c:v>
                </c:pt>
                <c:pt idx="106">
                  <c:v>164.58500000000001</c:v>
                </c:pt>
                <c:pt idx="107">
                  <c:v>181.94333333333336</c:v>
                </c:pt>
                <c:pt idx="108">
                  <c:v>133.33000000000001</c:v>
                </c:pt>
                <c:pt idx="109">
                  <c:v>176.05250000000001</c:v>
                </c:pt>
                <c:pt idx="110">
                  <c:v>143.61000000000001</c:v>
                </c:pt>
                <c:pt idx="111">
                  <c:v>166.67</c:v>
                </c:pt>
                <c:pt idx="112">
                  <c:v>180</c:v>
                </c:pt>
                <c:pt idx="113">
                  <c:v>125</c:v>
                </c:pt>
                <c:pt idx="114">
                  <c:v>163.79</c:v>
                </c:pt>
                <c:pt idx="115">
                  <c:v>162.02500000000001</c:v>
                </c:pt>
                <c:pt idx="116">
                  <c:v>0</c:v>
                </c:pt>
                <c:pt idx="117">
                  <c:v>0</c:v>
                </c:pt>
                <c:pt idx="118">
                  <c:v>0</c:v>
                </c:pt>
                <c:pt idx="119">
                  <c:v>0</c:v>
                </c:pt>
                <c:pt idx="120">
                  <c:v>0</c:v>
                </c:pt>
                <c:pt idx="121">
                  <c:v>0</c:v>
                </c:pt>
              </c:numCache>
            </c:numRef>
          </c:val>
          <c:extLst>
            <c:ext xmlns:c16="http://schemas.microsoft.com/office/drawing/2014/chart" uri="{C3380CC4-5D6E-409C-BE32-E72D297353CC}">
              <c16:uniqueId val="{00000003-9A4F-40E3-AAA5-DB513F30D0AF}"/>
            </c:ext>
          </c:extLst>
        </c:ser>
        <c:ser>
          <c:idx val="1"/>
          <c:order val="1"/>
          <c:tx>
            <c:strRef>
              <c:f>Player_Summary!$K$40</c:f>
              <c:strCache>
                <c:ptCount val="1"/>
                <c:pt idx="0">
                  <c:v>Sum of Strike_Rate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Player_Summary!$I$41:$I$229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Player_Summary!$K$41:$K$229</c:f>
              <c:numCache>
                <c:formatCode>General</c:formatCode>
                <c:ptCount val="122"/>
                <c:pt idx="0">
                  <c:v>136.36000000000001</c:v>
                </c:pt>
                <c:pt idx="1">
                  <c:v>150</c:v>
                </c:pt>
                <c:pt idx="2">
                  <c:v>150</c:v>
                </c:pt>
                <c:pt idx="3">
                  <c:v>150</c:v>
                </c:pt>
                <c:pt idx="4">
                  <c:v>323.81</c:v>
                </c:pt>
                <c:pt idx="5">
                  <c:v>464.45</c:v>
                </c:pt>
                <c:pt idx="6">
                  <c:v>71.430000000000007</c:v>
                </c:pt>
                <c:pt idx="7">
                  <c:v>133.33000000000001</c:v>
                </c:pt>
                <c:pt idx="8">
                  <c:v>446.43</c:v>
                </c:pt>
                <c:pt idx="9">
                  <c:v>133.33000000000001</c:v>
                </c:pt>
                <c:pt idx="10">
                  <c:v>1010.87</c:v>
                </c:pt>
                <c:pt idx="11">
                  <c:v>313.33</c:v>
                </c:pt>
                <c:pt idx="12">
                  <c:v>157.13999999999999</c:v>
                </c:pt>
                <c:pt idx="13">
                  <c:v>125</c:v>
                </c:pt>
                <c:pt idx="14">
                  <c:v>257.14</c:v>
                </c:pt>
                <c:pt idx="15">
                  <c:v>0</c:v>
                </c:pt>
                <c:pt idx="16">
                  <c:v>0</c:v>
                </c:pt>
                <c:pt idx="17">
                  <c:v>0</c:v>
                </c:pt>
                <c:pt idx="18">
                  <c:v>0</c:v>
                </c:pt>
                <c:pt idx="19">
                  <c:v>0</c:v>
                </c:pt>
                <c:pt idx="20">
                  <c:v>0</c:v>
                </c:pt>
                <c:pt idx="21">
                  <c:v>0</c:v>
                </c:pt>
                <c:pt idx="22">
                  <c:v>0</c:v>
                </c:pt>
                <c:pt idx="23">
                  <c:v>0</c:v>
                </c:pt>
                <c:pt idx="24">
                  <c:v>173.33</c:v>
                </c:pt>
                <c:pt idx="25">
                  <c:v>50</c:v>
                </c:pt>
                <c:pt idx="26">
                  <c:v>133.33000000000001</c:v>
                </c:pt>
                <c:pt idx="27">
                  <c:v>464.29</c:v>
                </c:pt>
                <c:pt idx="28">
                  <c:v>0</c:v>
                </c:pt>
                <c:pt idx="29">
                  <c:v>0</c:v>
                </c:pt>
                <c:pt idx="30">
                  <c:v>0</c:v>
                </c:pt>
                <c:pt idx="31">
                  <c:v>0</c:v>
                </c:pt>
                <c:pt idx="32">
                  <c:v>180</c:v>
                </c:pt>
                <c:pt idx="33">
                  <c:v>150</c:v>
                </c:pt>
                <c:pt idx="34">
                  <c:v>180</c:v>
                </c:pt>
                <c:pt idx="35">
                  <c:v>125</c:v>
                </c:pt>
                <c:pt idx="36">
                  <c:v>741.67</c:v>
                </c:pt>
                <c:pt idx="37">
                  <c:v>183.33</c:v>
                </c:pt>
                <c:pt idx="38">
                  <c:v>183.33</c:v>
                </c:pt>
                <c:pt idx="39">
                  <c:v>162.5</c:v>
                </c:pt>
                <c:pt idx="40">
                  <c:v>322.23</c:v>
                </c:pt>
                <c:pt idx="41">
                  <c:v>169.23</c:v>
                </c:pt>
                <c:pt idx="42">
                  <c:v>154.55000000000001</c:v>
                </c:pt>
                <c:pt idx="43">
                  <c:v>85.71</c:v>
                </c:pt>
                <c:pt idx="44">
                  <c:v>169.23</c:v>
                </c:pt>
                <c:pt idx="45">
                  <c:v>856.95</c:v>
                </c:pt>
                <c:pt idx="46">
                  <c:v>0</c:v>
                </c:pt>
                <c:pt idx="47">
                  <c:v>0</c:v>
                </c:pt>
                <c:pt idx="48">
                  <c:v>0</c:v>
                </c:pt>
                <c:pt idx="49">
                  <c:v>0</c:v>
                </c:pt>
                <c:pt idx="50">
                  <c:v>0</c:v>
                </c:pt>
                <c:pt idx="51">
                  <c:v>325</c:v>
                </c:pt>
                <c:pt idx="52">
                  <c:v>308.33</c:v>
                </c:pt>
                <c:pt idx="53">
                  <c:v>504.92</c:v>
                </c:pt>
                <c:pt idx="54">
                  <c:v>376.39</c:v>
                </c:pt>
                <c:pt idx="55">
                  <c:v>188.89</c:v>
                </c:pt>
                <c:pt idx="56">
                  <c:v>166.67</c:v>
                </c:pt>
                <c:pt idx="57">
                  <c:v>580</c:v>
                </c:pt>
                <c:pt idx="58">
                  <c:v>0</c:v>
                </c:pt>
                <c:pt idx="59">
                  <c:v>0</c:v>
                </c:pt>
                <c:pt idx="60">
                  <c:v>0</c:v>
                </c:pt>
                <c:pt idx="61">
                  <c:v>0</c:v>
                </c:pt>
                <c:pt idx="62">
                  <c:v>0</c:v>
                </c:pt>
                <c:pt idx="63">
                  <c:v>0</c:v>
                </c:pt>
                <c:pt idx="64">
                  <c:v>200</c:v>
                </c:pt>
                <c:pt idx="65">
                  <c:v>0</c:v>
                </c:pt>
                <c:pt idx="66">
                  <c:v>165</c:v>
                </c:pt>
                <c:pt idx="67">
                  <c:v>170</c:v>
                </c:pt>
                <c:pt idx="68">
                  <c:v>200</c:v>
                </c:pt>
                <c:pt idx="69">
                  <c:v>290</c:v>
                </c:pt>
                <c:pt idx="70">
                  <c:v>138.88999999999999</c:v>
                </c:pt>
                <c:pt idx="71">
                  <c:v>326.67</c:v>
                </c:pt>
                <c:pt idx="72">
                  <c:v>200</c:v>
                </c:pt>
                <c:pt idx="73">
                  <c:v>200</c:v>
                </c:pt>
                <c:pt idx="74">
                  <c:v>183.33</c:v>
                </c:pt>
                <c:pt idx="75">
                  <c:v>750.99</c:v>
                </c:pt>
                <c:pt idx="76">
                  <c:v>0</c:v>
                </c:pt>
                <c:pt idx="77">
                  <c:v>0</c:v>
                </c:pt>
                <c:pt idx="78">
                  <c:v>0</c:v>
                </c:pt>
                <c:pt idx="79">
                  <c:v>0</c:v>
                </c:pt>
                <c:pt idx="80">
                  <c:v>0</c:v>
                </c:pt>
                <c:pt idx="81">
                  <c:v>0</c:v>
                </c:pt>
                <c:pt idx="82">
                  <c:v>85.71</c:v>
                </c:pt>
                <c:pt idx="83">
                  <c:v>166.67</c:v>
                </c:pt>
                <c:pt idx="84">
                  <c:v>142.86000000000001</c:v>
                </c:pt>
                <c:pt idx="85">
                  <c:v>335.38</c:v>
                </c:pt>
                <c:pt idx="86">
                  <c:v>162.5</c:v>
                </c:pt>
                <c:pt idx="87">
                  <c:v>716.03</c:v>
                </c:pt>
                <c:pt idx="88">
                  <c:v>0</c:v>
                </c:pt>
                <c:pt idx="89">
                  <c:v>0</c:v>
                </c:pt>
                <c:pt idx="90">
                  <c:v>140</c:v>
                </c:pt>
                <c:pt idx="91">
                  <c:v>309.52999999999997</c:v>
                </c:pt>
                <c:pt idx="92">
                  <c:v>166.67</c:v>
                </c:pt>
                <c:pt idx="93">
                  <c:v>312.5</c:v>
                </c:pt>
                <c:pt idx="94">
                  <c:v>0</c:v>
                </c:pt>
                <c:pt idx="95">
                  <c:v>150</c:v>
                </c:pt>
                <c:pt idx="96">
                  <c:v>166.67</c:v>
                </c:pt>
                <c:pt idx="97">
                  <c:v>0</c:v>
                </c:pt>
                <c:pt idx="98">
                  <c:v>354.76</c:v>
                </c:pt>
                <c:pt idx="99">
                  <c:v>0</c:v>
                </c:pt>
                <c:pt idx="100">
                  <c:v>138.88999999999999</c:v>
                </c:pt>
                <c:pt idx="101">
                  <c:v>0</c:v>
                </c:pt>
                <c:pt idx="102">
                  <c:v>0</c:v>
                </c:pt>
                <c:pt idx="103">
                  <c:v>188.89</c:v>
                </c:pt>
                <c:pt idx="104">
                  <c:v>556.70000000000005</c:v>
                </c:pt>
                <c:pt idx="105">
                  <c:v>125</c:v>
                </c:pt>
                <c:pt idx="106">
                  <c:v>329.17</c:v>
                </c:pt>
                <c:pt idx="107">
                  <c:v>545.83000000000004</c:v>
                </c:pt>
                <c:pt idx="108">
                  <c:v>133.33000000000001</c:v>
                </c:pt>
                <c:pt idx="109">
                  <c:v>704.21</c:v>
                </c:pt>
                <c:pt idx="110">
                  <c:v>287.22000000000003</c:v>
                </c:pt>
                <c:pt idx="111">
                  <c:v>166.67</c:v>
                </c:pt>
                <c:pt idx="112">
                  <c:v>180</c:v>
                </c:pt>
                <c:pt idx="113">
                  <c:v>125</c:v>
                </c:pt>
                <c:pt idx="114">
                  <c:v>327.58</c:v>
                </c:pt>
                <c:pt idx="115">
                  <c:v>648.1</c:v>
                </c:pt>
                <c:pt idx="116">
                  <c:v>0</c:v>
                </c:pt>
                <c:pt idx="117">
                  <c:v>0</c:v>
                </c:pt>
                <c:pt idx="118">
                  <c:v>0</c:v>
                </c:pt>
                <c:pt idx="119">
                  <c:v>0</c:v>
                </c:pt>
                <c:pt idx="120">
                  <c:v>0</c:v>
                </c:pt>
                <c:pt idx="121">
                  <c:v>0</c:v>
                </c:pt>
              </c:numCache>
            </c:numRef>
          </c:val>
          <c:extLst>
            <c:ext xmlns:c16="http://schemas.microsoft.com/office/drawing/2014/chart" uri="{C3380CC4-5D6E-409C-BE32-E72D297353CC}">
              <c16:uniqueId val="{00000004-9A4F-40E3-AAA5-DB513F30D0AF}"/>
            </c:ext>
          </c:extLst>
        </c:ser>
        <c:dLbls>
          <c:showLegendKey val="0"/>
          <c:showVal val="1"/>
          <c:showCatName val="0"/>
          <c:showSerName val="0"/>
          <c:showPercent val="0"/>
          <c:showBubbleSize val="0"/>
        </c:dLbls>
        <c:gapWidth val="219"/>
        <c:overlap val="-27"/>
        <c:axId val="266622384"/>
        <c:axId val="266623344"/>
      </c:barChart>
      <c:catAx>
        <c:axId val="2666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23344"/>
        <c:crosses val="autoZero"/>
        <c:auto val="1"/>
        <c:lblAlgn val="ctr"/>
        <c:lblOffset val="100"/>
        <c:noMultiLvlLbl val="0"/>
      </c:catAx>
      <c:valAx>
        <c:axId val="26662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2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DashBoard.xlsx]Player_Summary!PivotTable9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38959216636381988"/>
          <c:y val="0.151318737596824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Player_Summary!$T$3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53-4A84-9308-E4311071B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53-4A84-9308-E4311071B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53-4A84-9308-E4311071B2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53-4A84-9308-E4311071B2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53-4A84-9308-E4311071B2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53-4A84-9308-E4311071B2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53-4A84-9308-E4311071B2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53-4A84-9308-E4311071B24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53-4A84-9308-E4311071B24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C53-4A84-9308-E4311071B24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C53-4A84-9308-E4311071B24C}"/>
              </c:ext>
            </c:extLst>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Player_Summary!$S$4:$S$37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Player_Summary!$T$4:$T$37</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2-4157-4F8D-8F38-15571FF477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Player_Summary!$J$3</c:f>
              <c:strCache>
                <c:ptCount val="1"/>
                <c:pt idx="0">
                  <c:v>Total_  Runs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Player_Summary!$I$4:$I$36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Player_Summary!$J$4:$J$36</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B803-46F9-9D28-A708FBA591BA}"/>
            </c:ext>
          </c:extLst>
        </c:ser>
        <c:dLbls>
          <c:dLblPos val="t"/>
          <c:showLegendKey val="0"/>
          <c:showVal val="1"/>
          <c:showCatName val="0"/>
          <c:showSerName val="0"/>
          <c:showPercent val="0"/>
          <c:showBubbleSize val="0"/>
        </c:dLbls>
        <c:marker val="1"/>
        <c:smooth val="0"/>
        <c:axId val="174789024"/>
        <c:axId val="174786144"/>
      </c:lineChart>
      <c:catAx>
        <c:axId val="1747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6144"/>
        <c:crosses val="autoZero"/>
        <c:auto val="1"/>
        <c:lblAlgn val="ctr"/>
        <c:lblOffset val="100"/>
        <c:noMultiLvlLbl val="0"/>
      </c:catAx>
      <c:valAx>
        <c:axId val="17478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DashBoard.xlsx]Player_Summary!PivotTable9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38959216636381988"/>
          <c:y val="0.151318737596824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Player_Summary!$T$3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E5-4B51-888A-1E19C15AA0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E5-4B51-888A-1E19C15AA0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E5-4B51-888A-1E19C15AA0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E5-4B51-888A-1E19C15AA0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E5-4B51-888A-1E19C15AA0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CE5-4B51-888A-1E19C15AA0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CE5-4B51-888A-1E19C15AA0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CE5-4B51-888A-1E19C15AA0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CE5-4B51-888A-1E19C15AA05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CE5-4B51-888A-1E19C15AA05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CE5-4B51-888A-1E19C15AA054}"/>
              </c:ext>
            </c:extLst>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Player_Summary!$S$4:$S$37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Player_Summary!$T$4:$T$37</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43-2EFE-4933-80B7-86D6CEBBC4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IPL DashBoard.xlsx]Player_Summary!PivotTable8</c:name>
    <c:fmtId val="9"/>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Player_Summary!$J$40</c:f>
              <c:strCache>
                <c:ptCount val="1"/>
                <c:pt idx="0">
                  <c:v>PlayerAvgStrikeRate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Player_Summary!$I$41:$I$229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Player_Summary!$J$41:$J$229</c:f>
              <c:numCache>
                <c:formatCode>#,##0.00</c:formatCode>
                <c:ptCount val="122"/>
                <c:pt idx="0">
                  <c:v>136.36000000000001</c:v>
                </c:pt>
                <c:pt idx="1">
                  <c:v>150</c:v>
                </c:pt>
                <c:pt idx="2">
                  <c:v>150</c:v>
                </c:pt>
                <c:pt idx="3">
                  <c:v>150</c:v>
                </c:pt>
                <c:pt idx="4">
                  <c:v>161.905</c:v>
                </c:pt>
                <c:pt idx="5">
                  <c:v>154.81666666666666</c:v>
                </c:pt>
                <c:pt idx="6">
                  <c:v>71.430000000000007</c:v>
                </c:pt>
                <c:pt idx="7">
                  <c:v>133.33000000000001</c:v>
                </c:pt>
                <c:pt idx="8">
                  <c:v>148.81</c:v>
                </c:pt>
                <c:pt idx="9">
                  <c:v>133.33000000000001</c:v>
                </c:pt>
                <c:pt idx="10">
                  <c:v>168.47833333333332</c:v>
                </c:pt>
                <c:pt idx="11">
                  <c:v>156.66499999999999</c:v>
                </c:pt>
                <c:pt idx="12">
                  <c:v>157.13999999999999</c:v>
                </c:pt>
                <c:pt idx="13">
                  <c:v>125</c:v>
                </c:pt>
                <c:pt idx="14">
                  <c:v>128.57</c:v>
                </c:pt>
                <c:pt idx="15">
                  <c:v>0</c:v>
                </c:pt>
                <c:pt idx="16">
                  <c:v>0</c:v>
                </c:pt>
                <c:pt idx="17">
                  <c:v>0</c:v>
                </c:pt>
                <c:pt idx="18">
                  <c:v>0</c:v>
                </c:pt>
                <c:pt idx="19">
                  <c:v>0</c:v>
                </c:pt>
                <c:pt idx="20">
                  <c:v>0</c:v>
                </c:pt>
                <c:pt idx="21">
                  <c:v>0</c:v>
                </c:pt>
                <c:pt idx="22">
                  <c:v>0</c:v>
                </c:pt>
                <c:pt idx="23">
                  <c:v>0</c:v>
                </c:pt>
                <c:pt idx="24">
                  <c:v>173.33</c:v>
                </c:pt>
                <c:pt idx="25">
                  <c:v>50</c:v>
                </c:pt>
                <c:pt idx="26">
                  <c:v>133.33000000000001</c:v>
                </c:pt>
                <c:pt idx="27">
                  <c:v>154.76333333333335</c:v>
                </c:pt>
                <c:pt idx="28">
                  <c:v>0</c:v>
                </c:pt>
                <c:pt idx="29">
                  <c:v>0</c:v>
                </c:pt>
                <c:pt idx="30">
                  <c:v>0</c:v>
                </c:pt>
                <c:pt idx="31">
                  <c:v>0</c:v>
                </c:pt>
                <c:pt idx="32">
                  <c:v>180</c:v>
                </c:pt>
                <c:pt idx="33">
                  <c:v>150</c:v>
                </c:pt>
                <c:pt idx="34">
                  <c:v>180</c:v>
                </c:pt>
                <c:pt idx="35">
                  <c:v>125</c:v>
                </c:pt>
                <c:pt idx="36">
                  <c:v>185.41749999999999</c:v>
                </c:pt>
                <c:pt idx="37">
                  <c:v>183.33</c:v>
                </c:pt>
                <c:pt idx="38">
                  <c:v>183.33</c:v>
                </c:pt>
                <c:pt idx="39">
                  <c:v>162.5</c:v>
                </c:pt>
                <c:pt idx="40">
                  <c:v>161.11500000000001</c:v>
                </c:pt>
                <c:pt idx="41">
                  <c:v>169.23</c:v>
                </c:pt>
                <c:pt idx="42">
                  <c:v>154.55000000000001</c:v>
                </c:pt>
                <c:pt idx="43">
                  <c:v>85.71</c:v>
                </c:pt>
                <c:pt idx="44">
                  <c:v>169.23</c:v>
                </c:pt>
                <c:pt idx="45">
                  <c:v>171.39000000000001</c:v>
                </c:pt>
                <c:pt idx="46">
                  <c:v>0</c:v>
                </c:pt>
                <c:pt idx="47">
                  <c:v>0</c:v>
                </c:pt>
                <c:pt idx="48">
                  <c:v>0</c:v>
                </c:pt>
                <c:pt idx="49">
                  <c:v>0</c:v>
                </c:pt>
                <c:pt idx="50">
                  <c:v>0</c:v>
                </c:pt>
                <c:pt idx="51">
                  <c:v>162.5</c:v>
                </c:pt>
                <c:pt idx="52">
                  <c:v>154.16499999999999</c:v>
                </c:pt>
                <c:pt idx="53">
                  <c:v>168.30666666666667</c:v>
                </c:pt>
                <c:pt idx="54">
                  <c:v>188.19499999999999</c:v>
                </c:pt>
                <c:pt idx="55">
                  <c:v>188.89</c:v>
                </c:pt>
                <c:pt idx="56">
                  <c:v>166.67</c:v>
                </c:pt>
                <c:pt idx="57">
                  <c:v>193.33333333333334</c:v>
                </c:pt>
                <c:pt idx="58">
                  <c:v>0</c:v>
                </c:pt>
                <c:pt idx="59">
                  <c:v>0</c:v>
                </c:pt>
                <c:pt idx="60">
                  <c:v>0</c:v>
                </c:pt>
                <c:pt idx="61">
                  <c:v>0</c:v>
                </c:pt>
                <c:pt idx="62">
                  <c:v>0</c:v>
                </c:pt>
                <c:pt idx="63">
                  <c:v>0</c:v>
                </c:pt>
                <c:pt idx="64">
                  <c:v>200</c:v>
                </c:pt>
                <c:pt idx="65">
                  <c:v>0</c:v>
                </c:pt>
                <c:pt idx="66">
                  <c:v>165</c:v>
                </c:pt>
                <c:pt idx="67">
                  <c:v>170</c:v>
                </c:pt>
                <c:pt idx="68">
                  <c:v>200</c:v>
                </c:pt>
                <c:pt idx="69">
                  <c:v>145</c:v>
                </c:pt>
                <c:pt idx="70">
                  <c:v>138.88999999999999</c:v>
                </c:pt>
                <c:pt idx="71">
                  <c:v>163.33500000000001</c:v>
                </c:pt>
                <c:pt idx="72">
                  <c:v>200</c:v>
                </c:pt>
                <c:pt idx="73">
                  <c:v>200</c:v>
                </c:pt>
                <c:pt idx="74">
                  <c:v>183.33</c:v>
                </c:pt>
                <c:pt idx="75">
                  <c:v>187.7475</c:v>
                </c:pt>
                <c:pt idx="76">
                  <c:v>0</c:v>
                </c:pt>
                <c:pt idx="77">
                  <c:v>0</c:v>
                </c:pt>
                <c:pt idx="78">
                  <c:v>0</c:v>
                </c:pt>
                <c:pt idx="79">
                  <c:v>0</c:v>
                </c:pt>
                <c:pt idx="80">
                  <c:v>0</c:v>
                </c:pt>
                <c:pt idx="81">
                  <c:v>0</c:v>
                </c:pt>
                <c:pt idx="82">
                  <c:v>85.71</c:v>
                </c:pt>
                <c:pt idx="83">
                  <c:v>166.67</c:v>
                </c:pt>
                <c:pt idx="84">
                  <c:v>142.86000000000001</c:v>
                </c:pt>
                <c:pt idx="85">
                  <c:v>167.69</c:v>
                </c:pt>
                <c:pt idx="86">
                  <c:v>162.5</c:v>
                </c:pt>
                <c:pt idx="87">
                  <c:v>179.00749999999999</c:v>
                </c:pt>
                <c:pt idx="88">
                  <c:v>0</c:v>
                </c:pt>
                <c:pt idx="89">
                  <c:v>0</c:v>
                </c:pt>
                <c:pt idx="90">
                  <c:v>140</c:v>
                </c:pt>
                <c:pt idx="91">
                  <c:v>154.76499999999999</c:v>
                </c:pt>
                <c:pt idx="92">
                  <c:v>166.67</c:v>
                </c:pt>
                <c:pt idx="93">
                  <c:v>156.25</c:v>
                </c:pt>
                <c:pt idx="94">
                  <c:v>0</c:v>
                </c:pt>
                <c:pt idx="95">
                  <c:v>75</c:v>
                </c:pt>
                <c:pt idx="96">
                  <c:v>166.67</c:v>
                </c:pt>
                <c:pt idx="97">
                  <c:v>0</c:v>
                </c:pt>
                <c:pt idx="98">
                  <c:v>177.38</c:v>
                </c:pt>
                <c:pt idx="99">
                  <c:v>0</c:v>
                </c:pt>
                <c:pt idx="100">
                  <c:v>138.88999999999999</c:v>
                </c:pt>
                <c:pt idx="101">
                  <c:v>0</c:v>
                </c:pt>
                <c:pt idx="102">
                  <c:v>0</c:v>
                </c:pt>
                <c:pt idx="103">
                  <c:v>188.89</c:v>
                </c:pt>
                <c:pt idx="104">
                  <c:v>139.17500000000001</c:v>
                </c:pt>
                <c:pt idx="105">
                  <c:v>125</c:v>
                </c:pt>
                <c:pt idx="106">
                  <c:v>164.58500000000001</c:v>
                </c:pt>
                <c:pt idx="107">
                  <c:v>181.94333333333336</c:v>
                </c:pt>
                <c:pt idx="108">
                  <c:v>133.33000000000001</c:v>
                </c:pt>
                <c:pt idx="109">
                  <c:v>176.05250000000001</c:v>
                </c:pt>
                <c:pt idx="110">
                  <c:v>143.61000000000001</c:v>
                </c:pt>
                <c:pt idx="111">
                  <c:v>166.67</c:v>
                </c:pt>
                <c:pt idx="112">
                  <c:v>180</c:v>
                </c:pt>
                <c:pt idx="113">
                  <c:v>125</c:v>
                </c:pt>
                <c:pt idx="114">
                  <c:v>163.79</c:v>
                </c:pt>
                <c:pt idx="115">
                  <c:v>162.02500000000001</c:v>
                </c:pt>
                <c:pt idx="116">
                  <c:v>0</c:v>
                </c:pt>
                <c:pt idx="117">
                  <c:v>0</c:v>
                </c:pt>
                <c:pt idx="118">
                  <c:v>0</c:v>
                </c:pt>
                <c:pt idx="119">
                  <c:v>0</c:v>
                </c:pt>
                <c:pt idx="120">
                  <c:v>0</c:v>
                </c:pt>
                <c:pt idx="121">
                  <c:v>0</c:v>
                </c:pt>
              </c:numCache>
            </c:numRef>
          </c:val>
          <c:extLst>
            <c:ext xmlns:c16="http://schemas.microsoft.com/office/drawing/2014/chart" uri="{C3380CC4-5D6E-409C-BE32-E72D297353CC}">
              <c16:uniqueId val="{00000002-5022-44EF-A175-23F09B9D7C47}"/>
            </c:ext>
          </c:extLst>
        </c:ser>
        <c:ser>
          <c:idx val="1"/>
          <c:order val="1"/>
          <c:tx>
            <c:strRef>
              <c:f>Player_Summary!$K$40</c:f>
              <c:strCache>
                <c:ptCount val="1"/>
                <c:pt idx="0">
                  <c:v>Sum of Strike_Rate</c:v>
                </c:pt>
              </c:strCache>
            </c:strRef>
          </c:tx>
          <c:spPr>
            <a:solidFill>
              <a:schemeClr val="accent5"/>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Player_Summary!$I$41:$I$229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Player_Summary!$K$41:$K$229</c:f>
              <c:numCache>
                <c:formatCode>General</c:formatCode>
                <c:ptCount val="122"/>
                <c:pt idx="0">
                  <c:v>136.36000000000001</c:v>
                </c:pt>
                <c:pt idx="1">
                  <c:v>150</c:v>
                </c:pt>
                <c:pt idx="2">
                  <c:v>150</c:v>
                </c:pt>
                <c:pt idx="3">
                  <c:v>150</c:v>
                </c:pt>
                <c:pt idx="4">
                  <c:v>323.81</c:v>
                </c:pt>
                <c:pt idx="5">
                  <c:v>464.45</c:v>
                </c:pt>
                <c:pt idx="6">
                  <c:v>71.430000000000007</c:v>
                </c:pt>
                <c:pt idx="7">
                  <c:v>133.33000000000001</c:v>
                </c:pt>
                <c:pt idx="8">
                  <c:v>446.43</c:v>
                </c:pt>
                <c:pt idx="9">
                  <c:v>133.33000000000001</c:v>
                </c:pt>
                <c:pt idx="10">
                  <c:v>1010.87</c:v>
                </c:pt>
                <c:pt idx="11">
                  <c:v>313.33</c:v>
                </c:pt>
                <c:pt idx="12">
                  <c:v>157.13999999999999</c:v>
                </c:pt>
                <c:pt idx="13">
                  <c:v>125</c:v>
                </c:pt>
                <c:pt idx="14">
                  <c:v>257.14</c:v>
                </c:pt>
                <c:pt idx="15">
                  <c:v>0</c:v>
                </c:pt>
                <c:pt idx="16">
                  <c:v>0</c:v>
                </c:pt>
                <c:pt idx="17">
                  <c:v>0</c:v>
                </c:pt>
                <c:pt idx="18">
                  <c:v>0</c:v>
                </c:pt>
                <c:pt idx="19">
                  <c:v>0</c:v>
                </c:pt>
                <c:pt idx="20">
                  <c:v>0</c:v>
                </c:pt>
                <c:pt idx="21">
                  <c:v>0</c:v>
                </c:pt>
                <c:pt idx="22">
                  <c:v>0</c:v>
                </c:pt>
                <c:pt idx="23">
                  <c:v>0</c:v>
                </c:pt>
                <c:pt idx="24">
                  <c:v>173.33</c:v>
                </c:pt>
                <c:pt idx="25">
                  <c:v>50</c:v>
                </c:pt>
                <c:pt idx="26">
                  <c:v>133.33000000000001</c:v>
                </c:pt>
                <c:pt idx="27">
                  <c:v>464.29</c:v>
                </c:pt>
                <c:pt idx="28">
                  <c:v>0</c:v>
                </c:pt>
                <c:pt idx="29">
                  <c:v>0</c:v>
                </c:pt>
                <c:pt idx="30">
                  <c:v>0</c:v>
                </c:pt>
                <c:pt idx="31">
                  <c:v>0</c:v>
                </c:pt>
                <c:pt idx="32">
                  <c:v>180</c:v>
                </c:pt>
                <c:pt idx="33">
                  <c:v>150</c:v>
                </c:pt>
                <c:pt idx="34">
                  <c:v>180</c:v>
                </c:pt>
                <c:pt idx="35">
                  <c:v>125</c:v>
                </c:pt>
                <c:pt idx="36">
                  <c:v>741.67</c:v>
                </c:pt>
                <c:pt idx="37">
                  <c:v>183.33</c:v>
                </c:pt>
                <c:pt idx="38">
                  <c:v>183.33</c:v>
                </c:pt>
                <c:pt idx="39">
                  <c:v>162.5</c:v>
                </c:pt>
                <c:pt idx="40">
                  <c:v>322.23</c:v>
                </c:pt>
                <c:pt idx="41">
                  <c:v>169.23</c:v>
                </c:pt>
                <c:pt idx="42">
                  <c:v>154.55000000000001</c:v>
                </c:pt>
                <c:pt idx="43">
                  <c:v>85.71</c:v>
                </c:pt>
                <c:pt idx="44">
                  <c:v>169.23</c:v>
                </c:pt>
                <c:pt idx="45">
                  <c:v>856.95</c:v>
                </c:pt>
                <c:pt idx="46">
                  <c:v>0</c:v>
                </c:pt>
                <c:pt idx="47">
                  <c:v>0</c:v>
                </c:pt>
                <c:pt idx="48">
                  <c:v>0</c:v>
                </c:pt>
                <c:pt idx="49">
                  <c:v>0</c:v>
                </c:pt>
                <c:pt idx="50">
                  <c:v>0</c:v>
                </c:pt>
                <c:pt idx="51">
                  <c:v>325</c:v>
                </c:pt>
                <c:pt idx="52">
                  <c:v>308.33</c:v>
                </c:pt>
                <c:pt idx="53">
                  <c:v>504.92</c:v>
                </c:pt>
                <c:pt idx="54">
                  <c:v>376.39</c:v>
                </c:pt>
                <c:pt idx="55">
                  <c:v>188.89</c:v>
                </c:pt>
                <c:pt idx="56">
                  <c:v>166.67</c:v>
                </c:pt>
                <c:pt idx="57">
                  <c:v>580</c:v>
                </c:pt>
                <c:pt idx="58">
                  <c:v>0</c:v>
                </c:pt>
                <c:pt idx="59">
                  <c:v>0</c:v>
                </c:pt>
                <c:pt idx="60">
                  <c:v>0</c:v>
                </c:pt>
                <c:pt idx="61">
                  <c:v>0</c:v>
                </c:pt>
                <c:pt idx="62">
                  <c:v>0</c:v>
                </c:pt>
                <c:pt idx="63">
                  <c:v>0</c:v>
                </c:pt>
                <c:pt idx="64">
                  <c:v>200</c:v>
                </c:pt>
                <c:pt idx="65">
                  <c:v>0</c:v>
                </c:pt>
                <c:pt idx="66">
                  <c:v>165</c:v>
                </c:pt>
                <c:pt idx="67">
                  <c:v>170</c:v>
                </c:pt>
                <c:pt idx="68">
                  <c:v>200</c:v>
                </c:pt>
                <c:pt idx="69">
                  <c:v>290</c:v>
                </c:pt>
                <c:pt idx="70">
                  <c:v>138.88999999999999</c:v>
                </c:pt>
                <c:pt idx="71">
                  <c:v>326.67</c:v>
                </c:pt>
                <c:pt idx="72">
                  <c:v>200</c:v>
                </c:pt>
                <c:pt idx="73">
                  <c:v>200</c:v>
                </c:pt>
                <c:pt idx="74">
                  <c:v>183.33</c:v>
                </c:pt>
                <c:pt idx="75">
                  <c:v>750.99</c:v>
                </c:pt>
                <c:pt idx="76">
                  <c:v>0</c:v>
                </c:pt>
                <c:pt idx="77">
                  <c:v>0</c:v>
                </c:pt>
                <c:pt idx="78">
                  <c:v>0</c:v>
                </c:pt>
                <c:pt idx="79">
                  <c:v>0</c:v>
                </c:pt>
                <c:pt idx="80">
                  <c:v>0</c:v>
                </c:pt>
                <c:pt idx="81">
                  <c:v>0</c:v>
                </c:pt>
                <c:pt idx="82">
                  <c:v>85.71</c:v>
                </c:pt>
                <c:pt idx="83">
                  <c:v>166.67</c:v>
                </c:pt>
                <c:pt idx="84">
                  <c:v>142.86000000000001</c:v>
                </c:pt>
                <c:pt idx="85">
                  <c:v>335.38</c:v>
                </c:pt>
                <c:pt idx="86">
                  <c:v>162.5</c:v>
                </c:pt>
                <c:pt idx="87">
                  <c:v>716.03</c:v>
                </c:pt>
                <c:pt idx="88">
                  <c:v>0</c:v>
                </c:pt>
                <c:pt idx="89">
                  <c:v>0</c:v>
                </c:pt>
                <c:pt idx="90">
                  <c:v>140</c:v>
                </c:pt>
                <c:pt idx="91">
                  <c:v>309.52999999999997</c:v>
                </c:pt>
                <c:pt idx="92">
                  <c:v>166.67</c:v>
                </c:pt>
                <c:pt idx="93">
                  <c:v>312.5</c:v>
                </c:pt>
                <c:pt idx="94">
                  <c:v>0</c:v>
                </c:pt>
                <c:pt idx="95">
                  <c:v>150</c:v>
                </c:pt>
                <c:pt idx="96">
                  <c:v>166.67</c:v>
                </c:pt>
                <c:pt idx="97">
                  <c:v>0</c:v>
                </c:pt>
                <c:pt idx="98">
                  <c:v>354.76</c:v>
                </c:pt>
                <c:pt idx="99">
                  <c:v>0</c:v>
                </c:pt>
                <c:pt idx="100">
                  <c:v>138.88999999999999</c:v>
                </c:pt>
                <c:pt idx="101">
                  <c:v>0</c:v>
                </c:pt>
                <c:pt idx="102">
                  <c:v>0</c:v>
                </c:pt>
                <c:pt idx="103">
                  <c:v>188.89</c:v>
                </c:pt>
                <c:pt idx="104">
                  <c:v>556.70000000000005</c:v>
                </c:pt>
                <c:pt idx="105">
                  <c:v>125</c:v>
                </c:pt>
                <c:pt idx="106">
                  <c:v>329.17</c:v>
                </c:pt>
                <c:pt idx="107">
                  <c:v>545.83000000000004</c:v>
                </c:pt>
                <c:pt idx="108">
                  <c:v>133.33000000000001</c:v>
                </c:pt>
                <c:pt idx="109">
                  <c:v>704.21</c:v>
                </c:pt>
                <c:pt idx="110">
                  <c:v>287.22000000000003</c:v>
                </c:pt>
                <c:pt idx="111">
                  <c:v>166.67</c:v>
                </c:pt>
                <c:pt idx="112">
                  <c:v>180</c:v>
                </c:pt>
                <c:pt idx="113">
                  <c:v>125</c:v>
                </c:pt>
                <c:pt idx="114">
                  <c:v>327.58</c:v>
                </c:pt>
                <c:pt idx="115">
                  <c:v>648.1</c:v>
                </c:pt>
                <c:pt idx="116">
                  <c:v>0</c:v>
                </c:pt>
                <c:pt idx="117">
                  <c:v>0</c:v>
                </c:pt>
                <c:pt idx="118">
                  <c:v>0</c:v>
                </c:pt>
                <c:pt idx="119">
                  <c:v>0</c:v>
                </c:pt>
                <c:pt idx="120">
                  <c:v>0</c:v>
                </c:pt>
                <c:pt idx="121">
                  <c:v>0</c:v>
                </c:pt>
              </c:numCache>
            </c:numRef>
          </c:val>
          <c:extLst>
            <c:ext xmlns:c16="http://schemas.microsoft.com/office/drawing/2014/chart" uri="{C3380CC4-5D6E-409C-BE32-E72D297353CC}">
              <c16:uniqueId val="{00000003-5022-44EF-A175-23F09B9D7C47}"/>
            </c:ext>
          </c:extLst>
        </c:ser>
        <c:dLbls>
          <c:showLegendKey val="0"/>
          <c:showVal val="1"/>
          <c:showCatName val="0"/>
          <c:showSerName val="0"/>
          <c:showPercent val="0"/>
          <c:showBubbleSize val="0"/>
        </c:dLbls>
        <c:gapWidth val="219"/>
        <c:overlap val="-27"/>
        <c:axId val="266622384"/>
        <c:axId val="266623344"/>
      </c:barChart>
      <c:catAx>
        <c:axId val="2666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23344"/>
        <c:crosses val="autoZero"/>
        <c:auto val="1"/>
        <c:lblAlgn val="ctr"/>
        <c:lblOffset val="100"/>
        <c:noMultiLvlLbl val="0"/>
      </c:catAx>
      <c:valAx>
        <c:axId val="26662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2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IPL DashBoard.xlsx]Player_Summary!PivotTable7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v/s Total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Player_Summary!$A$41:$A$229</c:f>
              <c:multiLvlStrCache>
                <c:ptCount val="122"/>
                <c:lvl>
                  <c:pt idx="0">
                    <c:v>Chennai Super Kings (CSK)</c:v>
                  </c:pt>
                  <c:pt idx="1">
                    <c:v>Delhi Capitals (DC)</c:v>
                  </c:pt>
                  <c:pt idx="2">
                    <c:v>Mumbai Indians (MI)</c:v>
                  </c:pt>
                  <c:pt idx="3">
                    <c:v>Sunrisers Hyderabad (SRH)</c:v>
                  </c:pt>
                  <c:pt idx="4">
                    <c:v>(blank)</c:v>
                  </c:pt>
                  <c:pt idx="5">
                    <c:v>Chennai Super Kings (CSK)</c:v>
                  </c:pt>
                  <c:pt idx="6">
                    <c:v>Delhi Capitals (DC)</c:v>
                  </c:pt>
                  <c:pt idx="7">
                    <c:v>Kolkata Knight Riders (KKR)</c:v>
                  </c:pt>
                  <c:pt idx="8">
                    <c:v>Royal Challengers Bengaluru (RCB)</c:v>
                  </c:pt>
                  <c:pt idx="9">
                    <c:v>Sunrisers Hyderabad (SRH)</c:v>
                  </c:pt>
                  <c:pt idx="10">
                    <c:v>(blank)</c:v>
                  </c:pt>
                  <c:pt idx="11">
                    <c:v>Delhi Capitals (DC)</c:v>
                  </c:pt>
                  <c:pt idx="12">
                    <c:v>Kolkata Knight Riders (KKR)</c:v>
                  </c:pt>
                  <c:pt idx="13">
                    <c:v>Mumbai Indians (MI)</c:v>
                  </c:pt>
                  <c:pt idx="14">
                    <c:v>Sunrisers Hyderabad (SRH)</c:v>
                  </c:pt>
                  <c:pt idx="15">
                    <c:v>Delhi Capitals (DC)</c:v>
                  </c:pt>
                  <c:pt idx="16">
                    <c:v>Kolkata Knight Riders (KKR)</c:v>
                  </c:pt>
                  <c:pt idx="17">
                    <c:v>Mumbai Indians (MI)</c:v>
                  </c:pt>
                  <c:pt idx="18">
                    <c:v>Punjab Kings (PBKS)</c:v>
                  </c:pt>
                  <c:pt idx="19">
                    <c:v>Rajasthan Royals (RR)</c:v>
                  </c:pt>
                  <c:pt idx="20">
                    <c:v>(blank)</c:v>
                  </c:pt>
                  <c:pt idx="21">
                    <c:v>Delhi Capitals (DC)</c:v>
                  </c:pt>
                  <c:pt idx="22">
                    <c:v>Rajasthan Royals (RR)</c:v>
                  </c:pt>
                  <c:pt idx="23">
                    <c:v>(blank)</c:v>
                  </c:pt>
                  <c:pt idx="24">
                    <c:v>Delhi Capitals (DC)</c:v>
                  </c:pt>
                  <c:pt idx="25">
                    <c:v>Mumbai Indians (MI)</c:v>
                  </c:pt>
                  <c:pt idx="26">
                    <c:v>Rajasthan Royals (RR)</c:v>
                  </c:pt>
                  <c:pt idx="27">
                    <c:v>(blank)</c:v>
                  </c:pt>
                  <c:pt idx="28">
                    <c:v>Delhi Capitals (DC)</c:v>
                  </c:pt>
                  <c:pt idx="29">
                    <c:v>Punjab Kings (PBKS)</c:v>
                  </c:pt>
                  <c:pt idx="30">
                    <c:v>Rajasthan Royals (RR)</c:v>
                  </c:pt>
                  <c:pt idx="31">
                    <c:v>(blank)</c:v>
                  </c:pt>
                  <c:pt idx="32">
                    <c:v>Delhi Capitals (DC)</c:v>
                  </c:pt>
                  <c:pt idx="33">
                    <c:v>Kolkata Knight Riders (KKR)</c:v>
                  </c:pt>
                  <c:pt idx="34">
                    <c:v>Rajasthan Royals (RR)</c:v>
                  </c:pt>
                  <c:pt idx="35">
                    <c:v>Royal Challengers Bengaluru (RCB)</c:v>
                  </c:pt>
                  <c:pt idx="36">
                    <c:v>(blank)</c:v>
                  </c:pt>
                  <c:pt idx="37">
                    <c:v>Delhi Capitals (DC)</c:v>
                  </c:pt>
                  <c:pt idx="38">
                    <c:v>Mumbai Indians (MI)</c:v>
                  </c:pt>
                  <c:pt idx="39">
                    <c:v>Royal Challengers Bengaluru (RCB)</c:v>
                  </c:pt>
                  <c:pt idx="40">
                    <c:v>(blank)</c:v>
                  </c:pt>
                  <c:pt idx="41">
                    <c:v>Delhi Capitals (DC)</c:v>
                  </c:pt>
                  <c:pt idx="42">
                    <c:v>Punjab Kings (PBKS)</c:v>
                  </c:pt>
                  <c:pt idx="43">
                    <c:v>Rajasthan Royals (RR)</c:v>
                  </c:pt>
                  <c:pt idx="44">
                    <c:v>Royal Challengers Bengaluru (RCB)</c:v>
                  </c:pt>
                  <c:pt idx="45">
                    <c:v>(blank)</c:v>
                  </c:pt>
                  <c:pt idx="46">
                    <c:v>Delhi Capitals (DC)</c:v>
                  </c:pt>
                  <c:pt idx="47">
                    <c:v>Kolkata Knight Riders (KKR)</c:v>
                  </c:pt>
                  <c:pt idx="48">
                    <c:v>Mumbai Indians (MI)</c:v>
                  </c:pt>
                  <c:pt idx="49">
                    <c:v>Rajasthan Royals (RR)</c:v>
                  </c:pt>
                  <c:pt idx="50">
                    <c:v>(blank)</c:v>
                  </c:pt>
                  <c:pt idx="51">
                    <c:v>Kolkata Knight Riders (KKR)</c:v>
                  </c:pt>
                  <c:pt idx="52">
                    <c:v>Sunrisers Hyderabad (SRH)</c:v>
                  </c:pt>
                  <c:pt idx="53">
                    <c:v>(blank)</c:v>
                  </c:pt>
                  <c:pt idx="54">
                    <c:v>Kolkata Knight Riders (KKR)</c:v>
                  </c:pt>
                  <c:pt idx="55">
                    <c:v>Punjab Kings (PBKS)</c:v>
                  </c:pt>
                  <c:pt idx="56">
                    <c:v>Rajasthan Royals (RR)</c:v>
                  </c:pt>
                  <c:pt idx="57">
                    <c:v>(blank)</c:v>
                  </c:pt>
                  <c:pt idx="58">
                    <c:v>Royal Challengers Bengaluru (RCB)</c:v>
                  </c:pt>
                  <c:pt idx="59">
                    <c:v>Sunrisers Hyderabad (SRH)</c:v>
                  </c:pt>
                  <c:pt idx="60">
                    <c:v>(blank)</c:v>
                  </c:pt>
                  <c:pt idx="61">
                    <c:v>Chennai Super Kings (CSK)</c:v>
                  </c:pt>
                  <c:pt idx="62">
                    <c:v>Mumbai Indians (MI)</c:v>
                  </c:pt>
                  <c:pt idx="63">
                    <c:v>(blank)</c:v>
                  </c:pt>
                  <c:pt idx="64">
                    <c:v>Royal Challengers Bengaluru (RCB)</c:v>
                  </c:pt>
                  <c:pt idx="65">
                    <c:v>Chennai Super Kings (CSK)</c:v>
                  </c:pt>
                  <c:pt idx="66">
                    <c:v>Rajasthan Royals (RR)</c:v>
                  </c:pt>
                  <c:pt idx="67">
                    <c:v>Royal Challengers Bengaluru (RCB)</c:v>
                  </c:pt>
                  <c:pt idx="68">
                    <c:v>(blank)</c:v>
                  </c:pt>
                  <c:pt idx="69">
                    <c:v>Mumbai Indians (MI)</c:v>
                  </c:pt>
                  <c:pt idx="70">
                    <c:v>Punjab Kings (PBKS)</c:v>
                  </c:pt>
                  <c:pt idx="71">
                    <c:v>(blank)</c:v>
                  </c:pt>
                  <c:pt idx="72">
                    <c:v>Kolkata Knight Riders (KKR)</c:v>
                  </c:pt>
                  <c:pt idx="73">
                    <c:v>Mumbai Indians (MI)</c:v>
                  </c:pt>
                  <c:pt idx="74">
                    <c:v>Sunrisers Hyderabad (SRH)</c:v>
                  </c:pt>
                  <c:pt idx="75">
                    <c:v>(blank)</c:v>
                  </c:pt>
                  <c:pt idx="76">
                    <c:v>Chennai Super Kings (CSK)</c:v>
                  </c:pt>
                  <c:pt idx="77">
                    <c:v>Mumbai Indians (MI)</c:v>
                  </c:pt>
                  <c:pt idx="78">
                    <c:v>Rajasthan Royals (RR)</c:v>
                  </c:pt>
                  <c:pt idx="79">
                    <c:v>Royal Challengers Bengaluru (RCB)</c:v>
                  </c:pt>
                  <c:pt idx="80">
                    <c:v>Sunrisers Hyderabad (SRH)</c:v>
                  </c:pt>
                  <c:pt idx="81">
                    <c:v>(blank)</c:v>
                  </c:pt>
                  <c:pt idx="82">
                    <c:v>Punjab Kings (PBKS)</c:v>
                  </c:pt>
                  <c:pt idx="83">
                    <c:v>Sunrisers Hyderabad (SRH)</c:v>
                  </c:pt>
                  <c:pt idx="84">
                    <c:v>Chennai Super Kings (CSK)</c:v>
                  </c:pt>
                  <c:pt idx="85">
                    <c:v>Rajasthan Royals (RR)</c:v>
                  </c:pt>
                  <c:pt idx="86">
                    <c:v>Royal Challengers Bengaluru (RCB)</c:v>
                  </c:pt>
                  <c:pt idx="87">
                    <c:v>(blank)</c:v>
                  </c:pt>
                  <c:pt idx="88">
                    <c:v>Punjab Kings (PBKS)</c:v>
                  </c:pt>
                  <c:pt idx="89">
                    <c:v>(blank)</c:v>
                  </c:pt>
                  <c:pt idx="90">
                    <c:v>Chennai Super Kings (CSK)</c:v>
                  </c:pt>
                  <c:pt idx="91">
                    <c:v>Punjab Kings (PBKS)</c:v>
                  </c:pt>
                  <c:pt idx="92">
                    <c:v>Royal Challengers Bengaluru (RCB)</c:v>
                  </c:pt>
                  <c:pt idx="93">
                    <c:v>(blank)</c:v>
                  </c:pt>
                  <c:pt idx="94">
                    <c:v>Kolkata Knight Riders (KKR)</c:v>
                  </c:pt>
                  <c:pt idx="95">
                    <c:v>Chennai Super Kings (CSK)</c:v>
                  </c:pt>
                  <c:pt idx="96">
                    <c:v>Punjab Kings (PBKS)</c:v>
                  </c:pt>
                  <c:pt idx="97">
                    <c:v>Royal Challengers Bengaluru (RCB)</c:v>
                  </c:pt>
                  <c:pt idx="98">
                    <c:v>(blank)</c:v>
                  </c:pt>
                  <c:pt idx="99">
                    <c:v>Mumbai Indians (MI)</c:v>
                  </c:pt>
                  <c:pt idx="100">
                    <c:v>Royal Challengers Bengaluru (RCB)</c:v>
                  </c:pt>
                  <c:pt idx="101">
                    <c:v>Sunrisers Hyderabad (SRH)</c:v>
                  </c:pt>
                  <c:pt idx="102">
                    <c:v>(blank)</c:v>
                  </c:pt>
                  <c:pt idx="103">
                    <c:v>Chennai Super Kings (CSK)</c:v>
                  </c:pt>
                  <c:pt idx="104">
                    <c:v>Kolkata Knight Riders (KKR)</c:v>
                  </c:pt>
                  <c:pt idx="105">
                    <c:v>Mumbai Indians (MI)</c:v>
                  </c:pt>
                  <c:pt idx="106">
                    <c:v>(blank)</c:v>
                  </c:pt>
                  <c:pt idx="107">
                    <c:v>Chennai Super Kings (CSK)</c:v>
                  </c:pt>
                  <c:pt idx="108">
                    <c:v>Punjab Kings (PBKS)</c:v>
                  </c:pt>
                  <c:pt idx="109">
                    <c:v>(blank)</c:v>
                  </c:pt>
                  <c:pt idx="110">
                    <c:v>Mumbai Indians (MI)</c:v>
                  </c:pt>
                  <c:pt idx="111">
                    <c:v>(blank)</c:v>
                  </c:pt>
                  <c:pt idx="112">
                    <c:v>Punjab Kings (PBKS)</c:v>
                  </c:pt>
                  <c:pt idx="113">
                    <c:v>Rajasthan Royals (RR)</c:v>
                  </c:pt>
                  <c:pt idx="114">
                    <c:v>Sunrisers Hyderabad (SRH)</c:v>
                  </c:pt>
                  <c:pt idx="115">
                    <c:v>(blank)</c:v>
                  </c:pt>
                  <c:pt idx="116">
                    <c:v>Rajasthan Royals (RR)</c:v>
                  </c:pt>
                  <c:pt idx="117">
                    <c:v>Sunrisers Hyderabad (SRH)</c:v>
                  </c:pt>
                  <c:pt idx="118">
                    <c:v>(blank)</c:v>
                  </c:pt>
                  <c:pt idx="119">
                    <c:v>Kolkata Knight Riders (KKR)</c:v>
                  </c:pt>
                  <c:pt idx="120">
                    <c:v>Sunrisers Hyderabad (SRH)</c:v>
                  </c:pt>
                  <c:pt idx="121">
                    <c:v>(blank)</c:v>
                  </c:pt>
                </c:lvl>
                <c:lvl>
                  <c:pt idx="0">
                    <c:v>All-Rounder</c:v>
                  </c:pt>
                  <c:pt idx="5">
                    <c:v>Batsman</c:v>
                  </c:pt>
                  <c:pt idx="11">
                    <c:v>Batsman</c:v>
                  </c:pt>
                  <c:pt idx="15">
                    <c:v>Bowler</c:v>
                  </c:pt>
                  <c:pt idx="21">
                    <c:v>All-Rounder</c:v>
                  </c:pt>
                  <c:pt idx="24">
                    <c:v>Wicketkeeper</c:v>
                  </c:pt>
                  <c:pt idx="28">
                    <c:v>Bowler</c:v>
                  </c:pt>
                  <c:pt idx="32">
                    <c:v>All-Rounder</c:v>
                  </c:pt>
                  <c:pt idx="37">
                    <c:v>Batsman</c:v>
                  </c:pt>
                  <c:pt idx="41">
                    <c:v>Batsman</c:v>
                  </c:pt>
                  <c:pt idx="46">
                    <c:v>Bowler</c:v>
                  </c:pt>
                  <c:pt idx="51">
                    <c:v>Batsman</c:v>
                  </c:pt>
                  <c:pt idx="54">
                    <c:v>All-Rounder</c:v>
                  </c:pt>
                  <c:pt idx="58">
                    <c:v>Bowler</c:v>
                  </c:pt>
                  <c:pt idx="61">
                    <c:v>Bowler</c:v>
                  </c:pt>
                  <c:pt idx="64">
                    <c:v>Wicketkeeper</c:v>
                  </c:pt>
                  <c:pt idx="65">
                    <c:v>All-Rounder</c:v>
                  </c:pt>
                  <c:pt idx="69">
                    <c:v>All-Rounder</c:v>
                  </c:pt>
                  <c:pt idx="72">
                    <c:v>Wicketkeeper</c:v>
                  </c:pt>
                  <c:pt idx="76">
                    <c:v>Bowler</c:v>
                  </c:pt>
                  <c:pt idx="82">
                    <c:v>Wicketkeeper</c:v>
                  </c:pt>
                  <c:pt idx="84">
                    <c:v>Wicketkeeper</c:v>
                  </c:pt>
                  <c:pt idx="88">
                    <c:v>Bowler</c:v>
                  </c:pt>
                  <c:pt idx="90">
                    <c:v>All-Rounder</c:v>
                  </c:pt>
                  <c:pt idx="94">
                    <c:v>Bowler</c:v>
                  </c:pt>
                  <c:pt idx="95">
                    <c:v>All-Rounder</c:v>
                  </c:pt>
                  <c:pt idx="99">
                    <c:v>Bowler</c:v>
                  </c:pt>
                  <c:pt idx="103">
                    <c:v>Batsman</c:v>
                  </c:pt>
                  <c:pt idx="107">
                    <c:v>All-Rounder</c:v>
                  </c:pt>
                  <c:pt idx="110">
                    <c:v>All-Rounder</c:v>
                  </c:pt>
                  <c:pt idx="112">
                    <c:v>Batsman</c:v>
                  </c:pt>
                  <c:pt idx="116">
                    <c:v>Bowler</c:v>
                  </c:pt>
                  <c:pt idx="119">
                    <c:v>Bowler</c:v>
                  </c:pt>
                </c:lvl>
                <c:lvl>
                  <c:pt idx="0">
                    <c:v>Daryl Mitchell</c:v>
                  </c:pt>
                  <c:pt idx="5">
                    <c:v>Virat Kohli</c:v>
                  </c:pt>
                  <c:pt idx="11">
                    <c:v>David Warner</c:v>
                  </c:pt>
                  <c:pt idx="15">
                    <c:v>Arshdeep Singh</c:v>
                  </c:pt>
                  <c:pt idx="21">
                    <c:v>Axar Patel</c:v>
                  </c:pt>
                  <c:pt idx="24">
                    <c:v>Ishan Kishan</c:v>
                  </c:pt>
                  <c:pt idx="28">
                    <c:v>Kuldeep Yadav</c:v>
                  </c:pt>
                  <c:pt idx="32">
                    <c:v>Sunil Narine</c:v>
                  </c:pt>
                  <c:pt idx="37">
                    <c:v>Suryakumar Yadav</c:v>
                  </c:pt>
                  <c:pt idx="41">
                    <c:v>Yashasvi Jaiswal</c:v>
                  </c:pt>
                  <c:pt idx="46">
                    <c:v>Yuzvendra Chahal</c:v>
                  </c:pt>
                  <c:pt idx="51">
                    <c:v>Abhishek Sharma</c:v>
                  </c:pt>
                  <c:pt idx="54">
                    <c:v>Andre Russell</c:v>
                  </c:pt>
                  <c:pt idx="58">
                    <c:v>Bhuvneshwar Kumar</c:v>
                  </c:pt>
                  <c:pt idx="61">
                    <c:v>Deepak Chahar</c:v>
                  </c:pt>
                  <c:pt idx="64">
                    <c:v>Dinesh Karthik</c:v>
                  </c:pt>
                  <c:pt idx="65">
                    <c:v>Glenn Maxwell</c:v>
                  </c:pt>
                  <c:pt idx="69">
                    <c:v>Hardik Pandya</c:v>
                  </c:pt>
                  <c:pt idx="72">
                    <c:v>Heinrich Klaasen</c:v>
                  </c:pt>
                  <c:pt idx="76">
                    <c:v>Jasprit Bumrah</c:v>
                  </c:pt>
                  <c:pt idx="82">
                    <c:v>Jitesh Sharma</c:v>
                  </c:pt>
                  <c:pt idx="84">
                    <c:v>Jos Buttler</c:v>
                  </c:pt>
                  <c:pt idx="88">
                    <c:v>Kagiso Rabada</c:v>
                  </c:pt>
                  <c:pt idx="90">
                    <c:v>Liam Livingstone</c:v>
                  </c:pt>
                  <c:pt idx="94">
                    <c:v>Matheesha Pathirana</c:v>
                  </c:pt>
                  <c:pt idx="95">
                    <c:v>Mitchell Marsh</c:v>
                  </c:pt>
                  <c:pt idx="99">
                    <c:v>Mohammed Siraj</c:v>
                  </c:pt>
                  <c:pt idx="103">
                    <c:v>Rinku Singh</c:v>
                  </c:pt>
                  <c:pt idx="107">
                    <c:v>Shivam Dube</c:v>
                  </c:pt>
                  <c:pt idx="110">
                    <c:v>Tilak Varma</c:v>
                  </c:pt>
                  <c:pt idx="112">
                    <c:v>Travis Head</c:v>
                  </c:pt>
                  <c:pt idx="116">
                    <c:v>Trent Boult</c:v>
                  </c:pt>
                  <c:pt idx="119">
                    <c:v>Varun Chakravarthy</c:v>
                  </c:pt>
                </c:lvl>
              </c:multiLvlStrCache>
            </c:multiLvlStrRef>
          </c:cat>
          <c:val>
            <c:numRef>
              <c:f>Player_Summary!$B$41:$B$229</c:f>
              <c:numCache>
                <c:formatCode>General</c:formatCode>
                <c:ptCount val="1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c:v>
                </c:pt>
                <c:pt idx="16">
                  <c:v>2</c:v>
                </c:pt>
                <c:pt idx="17">
                  <c:v>1</c:v>
                </c:pt>
                <c:pt idx="18">
                  <c:v>2</c:v>
                </c:pt>
                <c:pt idx="19">
                  <c:v>3</c:v>
                </c:pt>
                <c:pt idx="20">
                  <c:v>8</c:v>
                </c:pt>
                <c:pt idx="21">
                  <c:v>3</c:v>
                </c:pt>
                <c:pt idx="22">
                  <c:v>1</c:v>
                </c:pt>
                <c:pt idx="23">
                  <c:v>5</c:v>
                </c:pt>
                <c:pt idx="24">
                  <c:v>0</c:v>
                </c:pt>
                <c:pt idx="25">
                  <c:v>0</c:v>
                </c:pt>
                <c:pt idx="26">
                  <c:v>0</c:v>
                </c:pt>
                <c:pt idx="27">
                  <c:v>0</c:v>
                </c:pt>
                <c:pt idx="28">
                  <c:v>1</c:v>
                </c:pt>
                <c:pt idx="29">
                  <c:v>2</c:v>
                </c:pt>
                <c:pt idx="30">
                  <c:v>2</c:v>
                </c:pt>
                <c:pt idx="31">
                  <c:v>5</c:v>
                </c:pt>
                <c:pt idx="32">
                  <c:v>2</c:v>
                </c:pt>
                <c:pt idx="33">
                  <c:v>1</c:v>
                </c:pt>
                <c:pt idx="34">
                  <c:v>2</c:v>
                </c:pt>
                <c:pt idx="35">
                  <c:v>1</c:v>
                </c:pt>
                <c:pt idx="36">
                  <c:v>10</c:v>
                </c:pt>
                <c:pt idx="37">
                  <c:v>0</c:v>
                </c:pt>
                <c:pt idx="38">
                  <c:v>0</c:v>
                </c:pt>
                <c:pt idx="39">
                  <c:v>0</c:v>
                </c:pt>
                <c:pt idx="40">
                  <c:v>0</c:v>
                </c:pt>
                <c:pt idx="41">
                  <c:v>0</c:v>
                </c:pt>
                <c:pt idx="42">
                  <c:v>0</c:v>
                </c:pt>
                <c:pt idx="43">
                  <c:v>0</c:v>
                </c:pt>
                <c:pt idx="44">
                  <c:v>0</c:v>
                </c:pt>
                <c:pt idx="45">
                  <c:v>0</c:v>
                </c:pt>
                <c:pt idx="46">
                  <c:v>2</c:v>
                </c:pt>
                <c:pt idx="47">
                  <c:v>1</c:v>
                </c:pt>
                <c:pt idx="48">
                  <c:v>1</c:v>
                </c:pt>
                <c:pt idx="49">
                  <c:v>3</c:v>
                </c:pt>
                <c:pt idx="50">
                  <c:v>2</c:v>
                </c:pt>
                <c:pt idx="51">
                  <c:v>0</c:v>
                </c:pt>
                <c:pt idx="52">
                  <c:v>0</c:v>
                </c:pt>
                <c:pt idx="53">
                  <c:v>0</c:v>
                </c:pt>
                <c:pt idx="54">
                  <c:v>4</c:v>
                </c:pt>
                <c:pt idx="55">
                  <c:v>3</c:v>
                </c:pt>
                <c:pt idx="56">
                  <c:v>0</c:v>
                </c:pt>
                <c:pt idx="57">
                  <c:v>4</c:v>
                </c:pt>
                <c:pt idx="58">
                  <c:v>1</c:v>
                </c:pt>
                <c:pt idx="59">
                  <c:v>4</c:v>
                </c:pt>
                <c:pt idx="60">
                  <c:v>1</c:v>
                </c:pt>
                <c:pt idx="61">
                  <c:v>7</c:v>
                </c:pt>
                <c:pt idx="62">
                  <c:v>3</c:v>
                </c:pt>
                <c:pt idx="63">
                  <c:v>7</c:v>
                </c:pt>
                <c:pt idx="64">
                  <c:v>0</c:v>
                </c:pt>
                <c:pt idx="65">
                  <c:v>2</c:v>
                </c:pt>
                <c:pt idx="66">
                  <c:v>0</c:v>
                </c:pt>
                <c:pt idx="67">
                  <c:v>0</c:v>
                </c:pt>
                <c:pt idx="68">
                  <c:v>0</c:v>
                </c:pt>
                <c:pt idx="69">
                  <c:v>2</c:v>
                </c:pt>
                <c:pt idx="70">
                  <c:v>1</c:v>
                </c:pt>
                <c:pt idx="71">
                  <c:v>3</c:v>
                </c:pt>
                <c:pt idx="72">
                  <c:v>0</c:v>
                </c:pt>
                <c:pt idx="73">
                  <c:v>0</c:v>
                </c:pt>
                <c:pt idx="74">
                  <c:v>0</c:v>
                </c:pt>
                <c:pt idx="75">
                  <c:v>0</c:v>
                </c:pt>
                <c:pt idx="76">
                  <c:v>1</c:v>
                </c:pt>
                <c:pt idx="77">
                  <c:v>5</c:v>
                </c:pt>
                <c:pt idx="78">
                  <c:v>3</c:v>
                </c:pt>
                <c:pt idx="79">
                  <c:v>3</c:v>
                </c:pt>
                <c:pt idx="80">
                  <c:v>2</c:v>
                </c:pt>
                <c:pt idx="81">
                  <c:v>11</c:v>
                </c:pt>
                <c:pt idx="82">
                  <c:v>0</c:v>
                </c:pt>
                <c:pt idx="83">
                  <c:v>0</c:v>
                </c:pt>
                <c:pt idx="84">
                  <c:v>0</c:v>
                </c:pt>
                <c:pt idx="85">
                  <c:v>0</c:v>
                </c:pt>
                <c:pt idx="86">
                  <c:v>0</c:v>
                </c:pt>
                <c:pt idx="87">
                  <c:v>0</c:v>
                </c:pt>
                <c:pt idx="88">
                  <c:v>3</c:v>
                </c:pt>
                <c:pt idx="89">
                  <c:v>3</c:v>
                </c:pt>
                <c:pt idx="90">
                  <c:v>0</c:v>
                </c:pt>
                <c:pt idx="91">
                  <c:v>0</c:v>
                </c:pt>
                <c:pt idx="92">
                  <c:v>0</c:v>
                </c:pt>
                <c:pt idx="93">
                  <c:v>0</c:v>
                </c:pt>
                <c:pt idx="94">
                  <c:v>3</c:v>
                </c:pt>
                <c:pt idx="95">
                  <c:v>1</c:v>
                </c:pt>
                <c:pt idx="96">
                  <c:v>0</c:v>
                </c:pt>
                <c:pt idx="97">
                  <c:v>1</c:v>
                </c:pt>
                <c:pt idx="98">
                  <c:v>0</c:v>
                </c:pt>
                <c:pt idx="99">
                  <c:v>3</c:v>
                </c:pt>
                <c:pt idx="100">
                  <c:v>1</c:v>
                </c:pt>
                <c:pt idx="101">
                  <c:v>1</c:v>
                </c:pt>
                <c:pt idx="102">
                  <c:v>4</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4</c:v>
                </c:pt>
                <c:pt idx="117">
                  <c:v>1</c:v>
                </c:pt>
                <c:pt idx="118">
                  <c:v>8</c:v>
                </c:pt>
                <c:pt idx="119">
                  <c:v>4</c:v>
                </c:pt>
                <c:pt idx="120">
                  <c:v>4</c:v>
                </c:pt>
                <c:pt idx="121">
                  <c:v>7</c:v>
                </c:pt>
              </c:numCache>
            </c:numRef>
          </c:val>
          <c:smooth val="0"/>
          <c:extLst>
            <c:ext xmlns:c16="http://schemas.microsoft.com/office/drawing/2014/chart" uri="{C3380CC4-5D6E-409C-BE32-E72D297353CC}">
              <c16:uniqueId val="{00000001-C88C-4C0F-B89A-278521CCCE90}"/>
            </c:ext>
          </c:extLst>
        </c:ser>
        <c:dLbls>
          <c:dLblPos val="t"/>
          <c:showLegendKey val="0"/>
          <c:showVal val="1"/>
          <c:showCatName val="0"/>
          <c:showSerName val="0"/>
          <c:showPercent val="0"/>
          <c:showBubbleSize val="0"/>
        </c:dLbls>
        <c:marker val="1"/>
        <c:smooth val="0"/>
        <c:axId val="443417151"/>
        <c:axId val="443419551"/>
      </c:lineChart>
      <c:catAx>
        <c:axId val="4434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9551"/>
        <c:crosses val="autoZero"/>
        <c:auto val="1"/>
        <c:lblAlgn val="ctr"/>
        <c:lblOffset val="100"/>
        <c:noMultiLvlLbl val="0"/>
      </c:catAx>
      <c:valAx>
        <c:axId val="44341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99060</xdr:colOff>
      <xdr:row>13</xdr:row>
      <xdr:rowOff>38100</xdr:rowOff>
    </xdr:from>
    <xdr:to>
      <xdr:col>7</xdr:col>
      <xdr:colOff>22860</xdr:colOff>
      <xdr:row>26</xdr:row>
      <xdr:rowOff>38100</xdr:rowOff>
    </xdr:to>
    <xdr:graphicFrame macro="">
      <xdr:nvGraphicFramePr>
        <xdr:cNvPr id="3" name="Chart 2">
          <a:extLst>
            <a:ext uri="{FF2B5EF4-FFF2-40B4-BE49-F238E27FC236}">
              <a16:creationId xmlns:a16="http://schemas.microsoft.com/office/drawing/2014/main" id="{44FB136A-29A1-C41F-5AD9-33E4B8273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12</xdr:row>
      <xdr:rowOff>53340</xdr:rowOff>
    </xdr:from>
    <xdr:to>
      <xdr:col>10</xdr:col>
      <xdr:colOff>99060</xdr:colOff>
      <xdr:row>27</xdr:row>
      <xdr:rowOff>53340</xdr:rowOff>
    </xdr:to>
    <xdr:graphicFrame macro="">
      <xdr:nvGraphicFramePr>
        <xdr:cNvPr id="2" name="Chart 1">
          <a:extLst>
            <a:ext uri="{FF2B5EF4-FFF2-40B4-BE49-F238E27FC236}">
              <a16:creationId xmlns:a16="http://schemas.microsoft.com/office/drawing/2014/main" id="{8E10A284-1530-0174-A674-FAA15C25E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548640</xdr:colOff>
      <xdr:row>8</xdr:row>
      <xdr:rowOff>83820</xdr:rowOff>
    </xdr:from>
    <xdr:to>
      <xdr:col>13</xdr:col>
      <xdr:colOff>342900</xdr:colOff>
      <xdr:row>19</xdr:row>
      <xdr:rowOff>99060</xdr:rowOff>
    </xdr:to>
    <xdr:graphicFrame macro="">
      <xdr:nvGraphicFramePr>
        <xdr:cNvPr id="4" name="Chart 3">
          <a:extLst>
            <a:ext uri="{FF2B5EF4-FFF2-40B4-BE49-F238E27FC236}">
              <a16:creationId xmlns:a16="http://schemas.microsoft.com/office/drawing/2014/main" id="{BC4B55B7-162E-CB19-1B61-65A51E491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26</xdr:row>
      <xdr:rowOff>129540</xdr:rowOff>
    </xdr:from>
    <xdr:to>
      <xdr:col>7</xdr:col>
      <xdr:colOff>289560</xdr:colOff>
      <xdr:row>38</xdr:row>
      <xdr:rowOff>121920</xdr:rowOff>
    </xdr:to>
    <xdr:graphicFrame macro="">
      <xdr:nvGraphicFramePr>
        <xdr:cNvPr id="5" name="Chart 4">
          <a:extLst>
            <a:ext uri="{FF2B5EF4-FFF2-40B4-BE49-F238E27FC236}">
              <a16:creationId xmlns:a16="http://schemas.microsoft.com/office/drawing/2014/main" id="{C28BB006-7B97-00AC-A97B-C1AE76041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594360</xdr:colOff>
      <xdr:row>19</xdr:row>
      <xdr:rowOff>160020</xdr:rowOff>
    </xdr:from>
    <xdr:to>
      <xdr:col>14</xdr:col>
      <xdr:colOff>533400</xdr:colOff>
      <xdr:row>30</xdr:row>
      <xdr:rowOff>175260</xdr:rowOff>
    </xdr:to>
    <xdr:graphicFrame macro="">
      <xdr:nvGraphicFramePr>
        <xdr:cNvPr id="2" name="Chart 1">
          <a:extLst>
            <a:ext uri="{FF2B5EF4-FFF2-40B4-BE49-F238E27FC236}">
              <a16:creationId xmlns:a16="http://schemas.microsoft.com/office/drawing/2014/main" id="{25AD628C-3C89-4263-AB62-255ABE85F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579120</xdr:colOff>
      <xdr:row>5</xdr:row>
      <xdr:rowOff>167640</xdr:rowOff>
    </xdr:from>
    <xdr:to>
      <xdr:col>8</xdr:col>
      <xdr:colOff>327660</xdr:colOff>
      <xdr:row>18</xdr:row>
      <xdr:rowOff>167640</xdr:rowOff>
    </xdr:to>
    <xdr:graphicFrame macro="">
      <xdr:nvGraphicFramePr>
        <xdr:cNvPr id="3" name="Chart 2">
          <a:extLst>
            <a:ext uri="{FF2B5EF4-FFF2-40B4-BE49-F238E27FC236}">
              <a16:creationId xmlns:a16="http://schemas.microsoft.com/office/drawing/2014/main" id="{B7E783ED-D280-432D-9015-5DCBC8729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5</xdr:row>
      <xdr:rowOff>144780</xdr:rowOff>
    </xdr:from>
    <xdr:to>
      <xdr:col>14</xdr:col>
      <xdr:colOff>601980</xdr:colOff>
      <xdr:row>19</xdr:row>
      <xdr:rowOff>30480</xdr:rowOff>
    </xdr:to>
    <xdr:graphicFrame macro="">
      <xdr:nvGraphicFramePr>
        <xdr:cNvPr id="4" name="Chart 3">
          <a:extLst>
            <a:ext uri="{FF2B5EF4-FFF2-40B4-BE49-F238E27FC236}">
              <a16:creationId xmlns:a16="http://schemas.microsoft.com/office/drawing/2014/main" id="{2FD484D7-1112-4BE8-B5F4-8C571B3F8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243840</xdr:colOff>
      <xdr:row>19</xdr:row>
      <xdr:rowOff>129540</xdr:rowOff>
    </xdr:from>
    <xdr:to>
      <xdr:col>8</xdr:col>
      <xdr:colOff>175260</xdr:colOff>
      <xdr:row>31</xdr:row>
      <xdr:rowOff>121920</xdr:rowOff>
    </xdr:to>
    <xdr:graphicFrame macro="">
      <xdr:nvGraphicFramePr>
        <xdr:cNvPr id="5" name="Chart 4">
          <a:extLst>
            <a:ext uri="{FF2B5EF4-FFF2-40B4-BE49-F238E27FC236}">
              <a16:creationId xmlns:a16="http://schemas.microsoft.com/office/drawing/2014/main" id="{AB7AE15B-7035-4A5A-91EA-9BC4DC566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144780</xdr:colOff>
      <xdr:row>5</xdr:row>
      <xdr:rowOff>114300</xdr:rowOff>
    </xdr:from>
    <xdr:to>
      <xdr:col>19</xdr:col>
      <xdr:colOff>15240</xdr:colOff>
      <xdr:row>19</xdr:row>
      <xdr:rowOff>144780</xdr:rowOff>
    </xdr:to>
    <mc:AlternateContent xmlns:mc="http://schemas.openxmlformats.org/markup-compatibility/2006" xmlns:a14="http://schemas.microsoft.com/office/drawing/2010/main">
      <mc:Choice Requires="a14">
        <xdr:graphicFrame macro="">
          <xdr:nvGraphicFramePr>
            <xdr:cNvPr id="7" name="Team_Name">
              <a:extLst>
                <a:ext uri="{FF2B5EF4-FFF2-40B4-BE49-F238E27FC236}">
                  <a16:creationId xmlns:a16="http://schemas.microsoft.com/office/drawing/2014/main" id="{7DF153F0-7A55-EDDC-9349-634F06C00381}"/>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9288780" y="1112520"/>
              <a:ext cx="230886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274320</xdr:colOff>
      <xdr:row>21</xdr:row>
      <xdr:rowOff>1</xdr:rowOff>
    </xdr:from>
    <xdr:to>
      <xdr:col>18</xdr:col>
      <xdr:colOff>274320</xdr:colOff>
      <xdr:row>32</xdr:row>
      <xdr:rowOff>60960</xdr:rowOff>
    </xdr:to>
    <mc:AlternateContent xmlns:mc="http://schemas.openxmlformats.org/markup-compatibility/2006" xmlns:a14="http://schemas.microsoft.com/office/drawing/2010/main">
      <mc:Choice Requires="a14">
        <xdr:graphicFrame macro="">
          <xdr:nvGraphicFramePr>
            <xdr:cNvPr id="8" name="Venue_Name">
              <a:extLst>
                <a:ext uri="{FF2B5EF4-FFF2-40B4-BE49-F238E27FC236}">
                  <a16:creationId xmlns:a16="http://schemas.microsoft.com/office/drawing/2014/main" id="{39E7687C-925F-7BA9-0A04-0E73E2A587C0}"/>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9418320" y="3924301"/>
              <a:ext cx="182880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0</xdr:row>
      <xdr:rowOff>76200</xdr:rowOff>
    </xdr:from>
    <xdr:to>
      <xdr:col>3</xdr:col>
      <xdr:colOff>495300</xdr:colOff>
      <xdr:row>4</xdr:row>
      <xdr:rowOff>76200</xdr:rowOff>
    </xdr:to>
    <xdr:pic>
      <xdr:nvPicPr>
        <xdr:cNvPr id="11" name="Picture 10">
          <a:extLst>
            <a:ext uri="{FF2B5EF4-FFF2-40B4-BE49-F238E27FC236}">
              <a16:creationId xmlns:a16="http://schemas.microsoft.com/office/drawing/2014/main" id="{F4BB739F-3C6A-4755-491F-E076B02AF46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4300" y="76200"/>
          <a:ext cx="2209800" cy="8153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205740</xdr:colOff>
      <xdr:row>2</xdr:row>
      <xdr:rowOff>45720</xdr:rowOff>
    </xdr:from>
    <xdr:to>
      <xdr:col>17</xdr:col>
      <xdr:colOff>129540</xdr:colOff>
      <xdr:row>17</xdr:row>
      <xdr:rowOff>45720</xdr:rowOff>
    </xdr:to>
    <xdr:graphicFrame macro="">
      <xdr:nvGraphicFramePr>
        <xdr:cNvPr id="3" name="Chart 2">
          <a:extLst>
            <a:ext uri="{FF2B5EF4-FFF2-40B4-BE49-F238E27FC236}">
              <a16:creationId xmlns:a16="http://schemas.microsoft.com/office/drawing/2014/main" id="{7E0A19CC-57AE-A710-49A5-12ACF4397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39</xdr:row>
      <xdr:rowOff>114300</xdr:rowOff>
    </xdr:from>
    <xdr:to>
      <xdr:col>7</xdr:col>
      <xdr:colOff>502920</xdr:colOff>
      <xdr:row>54</xdr:row>
      <xdr:rowOff>114300</xdr:rowOff>
    </xdr:to>
    <xdr:graphicFrame macro="">
      <xdr:nvGraphicFramePr>
        <xdr:cNvPr id="4" name="Chart 3">
          <a:extLst>
            <a:ext uri="{FF2B5EF4-FFF2-40B4-BE49-F238E27FC236}">
              <a16:creationId xmlns:a16="http://schemas.microsoft.com/office/drawing/2014/main" id="{838D0C1C-38D9-EE15-BAC6-9A87CE6B8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137160</xdr:colOff>
      <xdr:row>39</xdr:row>
      <xdr:rowOff>53340</xdr:rowOff>
    </xdr:from>
    <xdr:to>
      <xdr:col>20</xdr:col>
      <xdr:colOff>0</xdr:colOff>
      <xdr:row>60</xdr:row>
      <xdr:rowOff>152400</xdr:rowOff>
    </xdr:to>
    <xdr:graphicFrame macro="">
      <xdr:nvGraphicFramePr>
        <xdr:cNvPr id="5" name="Chart 4">
          <a:extLst>
            <a:ext uri="{FF2B5EF4-FFF2-40B4-BE49-F238E27FC236}">
              <a16:creationId xmlns:a16="http://schemas.microsoft.com/office/drawing/2014/main" id="{274E90EE-48E9-0B0D-74FC-58A73DAA9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274320</xdr:colOff>
      <xdr:row>17</xdr:row>
      <xdr:rowOff>137160</xdr:rowOff>
    </xdr:from>
    <xdr:to>
      <xdr:col>17</xdr:col>
      <xdr:colOff>7620</xdr:colOff>
      <xdr:row>34</xdr:row>
      <xdr:rowOff>0</xdr:rowOff>
    </xdr:to>
    <xdr:graphicFrame macro="">
      <xdr:nvGraphicFramePr>
        <xdr:cNvPr id="6" name="Chart 5">
          <a:extLst>
            <a:ext uri="{FF2B5EF4-FFF2-40B4-BE49-F238E27FC236}">
              <a16:creationId xmlns:a16="http://schemas.microsoft.com/office/drawing/2014/main" id="{0FAC6BD3-117E-B176-6AAA-1E06F3629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4</xdr:row>
      <xdr:rowOff>152400</xdr:rowOff>
    </xdr:from>
    <xdr:to>
      <xdr:col>8</xdr:col>
      <xdr:colOff>601980</xdr:colOff>
      <xdr:row>19</xdr:row>
      <xdr:rowOff>144780</xdr:rowOff>
    </xdr:to>
    <xdr:graphicFrame macro="">
      <xdr:nvGraphicFramePr>
        <xdr:cNvPr id="2" name="Chart 1">
          <a:extLst>
            <a:ext uri="{FF2B5EF4-FFF2-40B4-BE49-F238E27FC236}">
              <a16:creationId xmlns:a16="http://schemas.microsoft.com/office/drawing/2014/main" id="{6689937B-F20B-4181-949A-448B89BE1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236220</xdr:colOff>
      <xdr:row>21</xdr:row>
      <xdr:rowOff>53340</xdr:rowOff>
    </xdr:from>
    <xdr:to>
      <xdr:col>19</xdr:col>
      <xdr:colOff>510540</xdr:colOff>
      <xdr:row>39</xdr:row>
      <xdr:rowOff>68580</xdr:rowOff>
    </xdr:to>
    <xdr:graphicFrame macro="">
      <xdr:nvGraphicFramePr>
        <xdr:cNvPr id="3" name="Chart 2">
          <a:extLst>
            <a:ext uri="{FF2B5EF4-FFF2-40B4-BE49-F238E27FC236}">
              <a16:creationId xmlns:a16="http://schemas.microsoft.com/office/drawing/2014/main" id="{AAEBC6BB-F2BF-479C-A832-90317A148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20</xdr:row>
      <xdr:rowOff>175260</xdr:rowOff>
    </xdr:from>
    <xdr:to>
      <xdr:col>15</xdr:col>
      <xdr:colOff>129540</xdr:colOff>
      <xdr:row>39</xdr:row>
      <xdr:rowOff>68580</xdr:rowOff>
    </xdr:to>
    <xdr:graphicFrame macro="">
      <xdr:nvGraphicFramePr>
        <xdr:cNvPr id="4" name="Chart 3">
          <a:extLst>
            <a:ext uri="{FF2B5EF4-FFF2-40B4-BE49-F238E27FC236}">
              <a16:creationId xmlns:a16="http://schemas.microsoft.com/office/drawing/2014/main" id="{4DBC61B8-9F41-43F7-A4CC-D8BC8F671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xdr:row>
      <xdr:rowOff>160020</xdr:rowOff>
    </xdr:from>
    <xdr:to>
      <xdr:col>19</xdr:col>
      <xdr:colOff>22860</xdr:colOff>
      <xdr:row>19</xdr:row>
      <xdr:rowOff>175260</xdr:rowOff>
    </xdr:to>
    <xdr:graphicFrame macro="">
      <xdr:nvGraphicFramePr>
        <xdr:cNvPr id="5" name="Chart 4">
          <a:extLst>
            <a:ext uri="{FF2B5EF4-FFF2-40B4-BE49-F238E27FC236}">
              <a16:creationId xmlns:a16="http://schemas.microsoft.com/office/drawing/2014/main" id="{4F67B062-9DA2-4098-A2EE-4EB0558AA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91440</xdr:colOff>
      <xdr:row>5</xdr:row>
      <xdr:rowOff>99060</xdr:rowOff>
    </xdr:from>
    <xdr:to>
      <xdr:col>22</xdr:col>
      <xdr:colOff>91440</xdr:colOff>
      <xdr:row>18</xdr:row>
      <xdr:rowOff>114300</xdr:rowOff>
    </xdr:to>
    <mc:AlternateContent xmlns:mc="http://schemas.openxmlformats.org/markup-compatibility/2006" xmlns:a14="http://schemas.microsoft.com/office/drawing/2010/main">
      <mc:Choice Requires="a14">
        <xdr:graphicFrame macro="">
          <xdr:nvGraphicFramePr>
            <xdr:cNvPr id="7" name="Venue_Name 1">
              <a:extLst>
                <a:ext uri="{FF2B5EF4-FFF2-40B4-BE49-F238E27FC236}">
                  <a16:creationId xmlns:a16="http://schemas.microsoft.com/office/drawing/2014/main" id="{766E3F74-778F-4DF3-9E9C-F524BDFD4B3F}"/>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11673840" y="1013460"/>
              <a:ext cx="182880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6</xdr:col>
      <xdr:colOff>411480</xdr:colOff>
      <xdr:row>4</xdr:row>
      <xdr:rowOff>144780</xdr:rowOff>
    </xdr:to>
    <xdr:pic>
      <xdr:nvPicPr>
        <xdr:cNvPr id="8" name="Picture 7">
          <a:extLst>
            <a:ext uri="{FF2B5EF4-FFF2-40B4-BE49-F238E27FC236}">
              <a16:creationId xmlns:a16="http://schemas.microsoft.com/office/drawing/2014/main" id="{04EF251E-AABF-4027-B203-8F95A40D4B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069080" cy="876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nsh Maurya" refreshedDate="46123.449449884261" createdVersion="8" refreshedVersion="8" minRefreshableVersion="3" recordCount="60" xr:uid="{A3E53C60-1D70-47C7-BB64-C8BDE30E639E}">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490277776" backgroundQuery="1" createdVersion="8" refreshedVersion="8" minRefreshableVersion="3" recordCount="0" supportSubquery="1" supportAdvancedDrill="1" xr:uid="{7D3F7F85-2940-48F9-A003-15BA38E61007}">
  <cacheSource type="external" connectionId="6"/>
  <cacheFields count="3">
    <cacheField name="[Measures].[TotalRun]" caption="TotalRun" numFmtId="0" hierarchy="52" level="32767"/>
    <cacheField name="[fact_match].[Win_type].[Win_type]" caption="Win_type" numFmtId="0" hierarchy="35" level="1">
      <sharedItems count="2">
        <s v="Win By Runs"/>
        <s v="Win by Wickets"/>
      </sharedItems>
    </cacheField>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oneField="1">
      <fieldsUsage count="1">
        <fieldUsage x="0"/>
      </fieldsUsage>
    </cacheHierarchy>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493055554" backgroundQuery="1" createdVersion="8" refreshedVersion="8" minRefreshableVersion="3" recordCount="0" supportSubquery="1" supportAdvancedDrill="1" xr:uid="{0B638D74-3A73-44D2-963E-D3EC1CE1EABD}">
  <cacheSource type="external" connectionId="6"/>
  <cacheFields count="3">
    <cacheField name="[Measures].[Count of Team_ID]" caption="Count of Team_ID" numFmtId="0" hierarchy="75" level="32767"/>
    <cacheField name="[fact_match].[Venue_Name].[Venue_Name]" caption="Venue_Name" numFmtId="0" hierarchy="38" level="1">
      <sharedItems containsBlank="1" count="9">
        <s v="Arun Jaitley Stadium"/>
        <s v="Eden Gardens"/>
        <s v="M. A. Chidambaram Stadium"/>
        <s v="M. Chinnaswamy Stadium"/>
        <s v="Maharaja Yadavindra Singh Int. Cricket Stadium"/>
        <s v="Rajiv Gandhi Int. Stadium"/>
        <s v="Sawai Mansingh Stadium"/>
        <s v="Wankhede Stadium"/>
        <m/>
      </sharedItems>
    </cacheField>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1"/>
      </fieldsUsage>
    </cacheHierarchy>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495833333" backgroundQuery="1" createdVersion="8" refreshedVersion="8" minRefreshableVersion="3" recordCount="0" supportSubquery="1" supportAdvancedDrill="1" xr:uid="{5310E41D-85F6-4807-8076-746DFE47FDD2}">
  <cacheSource type="external" connectionId="6"/>
  <cacheFields count="6">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eamWins]" caption="TeamWins" numFmtId="0" hierarchy="58" level="32767"/>
    <cacheField name="[Measures].[TotalRun]" caption="TotalRun" numFmtId="0" hierarchy="52" level="32767"/>
    <cacheField name="[Measures].[Total_Wickets]" caption="Total_Wickets" numFmtId="0" hierarchy="53" level="32767"/>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5"/>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oneField="1">
      <fieldsUsage count="1">
        <fieldUsage x="3"/>
      </fieldsUsage>
    </cacheHierarchy>
    <cacheHierarchy uniqueName="[Measures].[Total_Wickets]" caption="Total_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49872685" backgroundQuery="1" createdVersion="8" refreshedVersion="8" minRefreshableVersion="3" recordCount="0" supportSubquery="1" supportAdvancedDrill="1" xr:uid="{C6E5923D-5926-4DB2-933D-68446F49C301}">
  <cacheSource type="external" connectionId="6"/>
  <cacheFields count="3">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501620368" backgroundQuery="1" createdVersion="8" refreshedVersion="8" minRefreshableVersion="3" recordCount="0" supportSubquery="1" supportAdvancedDrill="1" xr:uid="{B601DE50-8179-490F-AECC-4794C4021B6A}">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Run]" caption="TotalRun" numFmtId="0" hierarchy="52" level="32767"/>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oneField="1">
      <fieldsUsage count="1">
        <fieldUsage x="1"/>
      </fieldsUsage>
    </cacheHierarchy>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504398146" backgroundQuery="1" createdVersion="8" refreshedVersion="8" minRefreshableVersion="3" recordCount="0" supportSubquery="1" supportAdvancedDrill="1" xr:uid="{E324221D-2B55-4513-A9F1-5A4619E8FC90}">
  <cacheSource type="external" connectionId="6"/>
  <cacheFields count="10">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4">
        <s v="Batsman"/>
        <s v="All-Rounder"/>
        <s v="Bowler"/>
        <s v="Wicketkeeper"/>
      </sharedItems>
    </cacheField>
    <cacheField name="[Measures].[Sum of Runs]" caption="Sum of Runs" numFmtId="0" hierarchy="68" level="32767"/>
    <cacheField name="[Measures].[Sum of Balls_Faced]" caption="Sum of Balls_Faced" numFmtId="0" hierarchy="69" level="32767"/>
    <cacheField name="[Measures].[Sum of Wickets]" caption="Sum of Wickets" numFmtId="0" hierarchy="70" level="32767"/>
    <cacheField name="[Measures].[Sum of Runs_Conceded]" caption="Sum of Runs_Conceded" numFmtId="0" hierarchy="71" level="32767"/>
    <cacheField name="[Measures].[Sum of Strike_Rate]" caption="Sum of Strike_Rate" numFmtId="0" hierarchy="72" level="32767"/>
    <cacheField name="[Measures].[Sum of Economy]" caption="Sum of Economy" numFmtId="0" hierarchy="73" level="32767"/>
    <cacheField name="[dim_team].[Team_Name].[Team_Name]" caption="Team_Name" numFmtId="0" hierarchy="9" level="1">
      <sharedItems containsBlank="1" count="9">
        <s v="Kolkata Knight Riders (KKR)"/>
        <s v="Sunrisers Hyderabad (SRH)"/>
        <m/>
        <s v="Punjab Kings (PBKS)"/>
        <s v="Rajasthan Royals (RR)"/>
        <s v="Delhi Capitals (DC)"/>
        <s v="Mumbai Indians (MI)"/>
        <s v="Royal Challengers Bengaluru (RCB)"/>
        <s v="Chennai Super Kings (CSK)"/>
      </sharedItems>
    </cacheField>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8"/>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9"/>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4"/>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5"/>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6"/>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7"/>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507175925" backgroundQuery="1" createdVersion="8" refreshedVersion="8" minRefreshableVersion="3" recordCount="0" supportSubquery="1" supportAdvancedDrill="1" xr:uid="{22A5FF1A-574E-464E-9116-6E3763A00E2C}">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4">
        <s v="Batsman"/>
        <s v="All-Rounder"/>
        <s v="Bowler"/>
        <s v="Wicketkeeper"/>
      </sharedItems>
    </cacheField>
    <cacheField name="[Measures].[Sum of Wickets]" caption="Sum of Wickets" numFmtId="0" hierarchy="70" level="32767"/>
    <cacheField name="[dim_team].[Team_Name].[Team_Name]" caption="Team_Name" numFmtId="0" hierarchy="9" level="1">
      <sharedItems containsBlank="1" count="9">
        <s v="Kolkata Knight Riders (KKR)"/>
        <s v="Sunrisers Hyderabad (SRH)"/>
        <m/>
        <s v="Punjab Kings (PBKS)"/>
        <s v="Rajasthan Royals (RR)"/>
        <s v="Delhi Capitals (DC)"/>
        <s v="Mumbai Indians (MI)"/>
        <s v="Royal Challengers Bengaluru (RCB)"/>
        <s v="Chennai Super Kings (CSK)"/>
      </sharedItems>
    </cacheField>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510069443" backgroundQuery="1" createdVersion="8" refreshedVersion="8" minRefreshableVersion="3" recordCount="0" supportSubquery="1" supportAdvancedDrill="1" xr:uid="{6A036717-48BB-4377-A219-11D50F95ED95}">
  <cacheSource type="external" connectionId="6"/>
  <cacheFields count="6">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ntainsBlank="1" count="9">
        <s v="Kolkata Knight Riders (KKR)"/>
        <s v="Sunrisers Hyderabad (SRH)"/>
        <m/>
        <s v="Punjab Kings (PBKS)"/>
        <s v="Rajasthan Royals (RR)"/>
        <s v="Delhi Capitals (DC)"/>
        <s v="Mumbai Indians (MI)"/>
        <s v="Royal Challengers Bengaluru (RCB)"/>
        <s v="Chennai Super Kings (CSK)"/>
      </sharedItems>
    </cacheField>
    <cacheField name="[Measures].[PlayerAvgStrikeRate]" caption="PlayerAvgStrikeRate" numFmtId="0" hierarchy="56" level="32767"/>
    <cacheField name="[Measures].[Sum of Strike_Rate]" caption="Sum of Strike_Rate" numFmtId="0" hierarchy="72" level="32767"/>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5"/>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oneField="1">
      <fieldsUsage count="1">
        <fieldUsage x="3"/>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4"/>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603513078706" backgroundQuery="1" createdVersion="8" refreshedVersion="8" minRefreshableVersion="3" recordCount="0" supportSubquery="1" supportAdvancedDrill="1" xr:uid="{07882705-9F75-4868-B544-58783F38D9DA}">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dim_team].[Team_Name].[Team_Name]" caption="Team_Name" numFmtId="0" hierarchy="9" level="1">
      <sharedItems containsBlank="1" count="5">
        <s v="Delhi Capitals (DC)"/>
        <s v="Kolkata Knight Riders (KKR)"/>
        <s v="Mumbai Indians (MI)"/>
        <s v="Rajasthan Royals (RR)"/>
        <m/>
      </sharedItems>
    </cacheField>
    <cacheField name="[Measures].[Sum of Economy]" caption="Sum of Economy" numFmtId="0" hierarchy="73" level="32767"/>
    <cacheField name="[dim_venue].[Venue_Name].[Venue_Name]" caption="Venue_Name" numFmtId="0" hierarchy="16" level="1">
      <sharedItems containsSemiMixedTypes="0" containsNonDate="0" containsString="0"/>
    </cacheField>
  </cacheFields>
  <cacheHierarchies count="76">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3"/>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nsh Maurya" refreshedDate="46123.514289120372" backgroundQuery="1" createdVersion="3" refreshedVersion="8" minRefreshableVersion="3" recordCount="0" supportSubquery="1" supportAdvancedDrill="1" xr:uid="{A34363A7-A32B-4BBC-88BA-39B638ACCDB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Total_Matches]" caption="Total_Matches" measure="1" displayFolder="" measureGroup="fact_match" count="0"/>
    <cacheHierarchy uniqueName="[Measures].[TotalRun]" caption="TotalRun" measure="1" displayFolder="" measureGroup="fact_match" count="0"/>
    <cacheHierarchy uniqueName="[Measures].[Total_Wickets]" caption="Total_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ID 2]" caption="Count of Match_ID 2" measure="1" displayFolder="" measureGroup="fact_player" count="0" hidden="1">
      <extLst>
        <ext xmlns:x15="http://schemas.microsoft.com/office/spreadsheetml/2010/11/main" uri="{B97F6D7D-B522-45F9-BDA1-12C45D357490}">
          <x15:cacheHierarchy aggregatedColumn="40"/>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licerData="1" pivotCacheId="21085589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C5639-5A33-47CB-AB7B-7EE0640FB91A}" name="PivotTable6" cacheId="22" applyNumberFormats="0" applyBorderFormats="0" applyFontFormats="0" applyPatternFormats="0" applyAlignmentFormats="0" applyWidthHeightFormats="1" dataCaption="Values" tag="707c3a31-fa79-4253-94de-5aa5e4df4395" updatedVersion="8" minRefreshableVersion="3" useAutoFormatting="1" itemPrintTitles="1" createdVersion="8" indent="0" outline="1" outlineData="1" multipleFieldFilters="0" chartFormat="11" rowHeaderCaption="Team Name">
  <location ref="A15:B25"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_Wins"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Match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7220FD-45E0-4416-B707-6C760856E9E3}" name="PivotTable3" cacheId="19" applyNumberFormats="0" applyBorderFormats="0" applyFontFormats="0" applyPatternFormats="0" applyAlignmentFormats="0" applyWidthHeightFormats="1" dataCaption="Values" tag="23d106d7-0e6a-47b5-8fa1-0db68bb5c3d9" updatedVersion="8" minRefreshableVersion="3" useAutoFormatting="1" itemPrintTitles="1" createdVersion="8" indent="0" outline="1" outlineData="1" multipleFieldFilters="0" rowHeaderCaption="Team Name">
  <location ref="A3:E13" firstHeaderRow="0" firstDataRow="1" firstDataCol="1"/>
  <pivotFields count="6">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otal_Matches" fld="1" subtotal="count" baseField="0" baseItem="0"/>
    <dataField name="Total_Wins" fld="2" subtotal="count" baseField="0" baseItem="0"/>
    <dataField name="Total_Runs" fld="3" subtotal="count" baseField="0" baseItem="0"/>
    <dataField fld="4" subtotal="count"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Match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CB720-84AF-4155-8113-45E134FA26E7}" name="PivotTable2" cacheId="16" applyNumberFormats="0" applyBorderFormats="0" applyFontFormats="0" applyPatternFormats="0" applyAlignmentFormats="0" applyWidthHeightFormats="1" dataCaption="Values" tag="707c3a31-fa79-4253-94de-5aa5e4df4395" updatedVersion="8" minRefreshableVersion="3" useAutoFormatting="1" itemPrintTitles="1" createdVersion="8" indent="0" outline="1" outlineData="1" multipleFieldFilters="0" chartFormat="12" rowHeaderCaption="Team Name">
  <location ref="A28:B38"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Team_ID" fld="0" subtotal="count" baseField="0" baseItem="0"/>
  </dataFields>
  <chartFormats count="20">
    <chartFormat chart="9" format="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 count="1" selected="0">
            <x v="0"/>
          </reference>
        </references>
      </pivotArea>
    </chartFormat>
    <chartFormat chart="11" format="13">
      <pivotArea type="data" outline="0" fieldPosition="0">
        <references count="2">
          <reference field="4294967294" count="1" selected="0">
            <x v="0"/>
          </reference>
          <reference field="1" count="1" selected="0">
            <x v="1"/>
          </reference>
        </references>
      </pivotArea>
    </chartFormat>
    <chartFormat chart="11" format="14">
      <pivotArea type="data" outline="0" fieldPosition="0">
        <references count="2">
          <reference field="4294967294" count="1" selected="0">
            <x v="0"/>
          </reference>
          <reference field="1" count="1" selected="0">
            <x v="2"/>
          </reference>
        </references>
      </pivotArea>
    </chartFormat>
    <chartFormat chart="11" format="15">
      <pivotArea type="data" outline="0" fieldPosition="0">
        <references count="2">
          <reference field="4294967294" count="1" selected="0">
            <x v="0"/>
          </reference>
          <reference field="1" count="1" selected="0">
            <x v="3"/>
          </reference>
        </references>
      </pivotArea>
    </chartFormat>
    <chartFormat chart="11" format="16">
      <pivotArea type="data" outline="0" fieldPosition="0">
        <references count="2">
          <reference field="4294967294" count="1" selected="0">
            <x v="0"/>
          </reference>
          <reference field="1" count="1" selected="0">
            <x v="4"/>
          </reference>
        </references>
      </pivotArea>
    </chartFormat>
    <chartFormat chart="11" format="17">
      <pivotArea type="data" outline="0" fieldPosition="0">
        <references count="2">
          <reference field="4294967294" count="1" selected="0">
            <x v="0"/>
          </reference>
          <reference field="1" count="1" selected="0">
            <x v="5"/>
          </reference>
        </references>
      </pivotArea>
    </chartFormat>
    <chartFormat chart="11" format="18">
      <pivotArea type="data" outline="0" fieldPosition="0">
        <references count="2">
          <reference field="4294967294" count="1" selected="0">
            <x v="0"/>
          </reference>
          <reference field="1" count="1" selected="0">
            <x v="6"/>
          </reference>
        </references>
      </pivotArea>
    </chartFormat>
    <chartFormat chart="11" format="19">
      <pivotArea type="data" outline="0" fieldPosition="0">
        <references count="2">
          <reference field="4294967294" count="1" selected="0">
            <x v="0"/>
          </reference>
          <reference field="1" count="1" selected="0">
            <x v="7"/>
          </reference>
        </references>
      </pivotArea>
    </chartFormat>
    <chartFormat chart="11" format="20">
      <pivotArea type="data" outline="0" fieldPosition="0">
        <references count="2">
          <reference field="4294967294" count="1" selected="0">
            <x v="0"/>
          </reference>
          <reference field="1" count="1" selected="0">
            <x v="8"/>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 chart="9" format="6">
      <pivotArea type="data" outline="0" fieldPosition="0">
        <references count="2">
          <reference field="4294967294" count="1" selected="0">
            <x v="0"/>
          </reference>
          <reference field="1" count="1" selected="0">
            <x v="5"/>
          </reference>
        </references>
      </pivotArea>
    </chartFormat>
    <chartFormat chart="9" format="7">
      <pivotArea type="data" outline="0" fieldPosition="0">
        <references count="2">
          <reference field="4294967294" count="1" selected="0">
            <x v="0"/>
          </reference>
          <reference field="1" count="1" selected="0">
            <x v="6"/>
          </reference>
        </references>
      </pivotArea>
    </chartFormat>
    <chartFormat chart="9" format="8">
      <pivotArea type="data" outline="0" fieldPosition="0">
        <references count="2">
          <reference field="4294967294" count="1" selected="0">
            <x v="0"/>
          </reference>
          <reference field="1" count="1" selected="0">
            <x v="7"/>
          </reference>
        </references>
      </pivotArea>
    </chartFormat>
    <chartFormat chart="9" format="9">
      <pivotArea type="data" outline="0" fieldPosition="0">
        <references count="2">
          <reference field="4294967294" count="1" selected="0">
            <x v="0"/>
          </reference>
          <reference field="1" count="1" selected="0">
            <x v="8"/>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Match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EC063-0CA0-4A97-99E2-4605C11975D1}" name="PivotTable1" cacheId="13" applyNumberFormats="0" applyBorderFormats="0" applyFontFormats="0" applyPatternFormats="0" applyAlignmentFormats="0" applyWidthHeightFormats="1" dataCaption="Values" tag="d17a2164-536c-45d6-8063-6bbb70d9a3f9" updatedVersion="8" minRefreshableVersion="3" useAutoFormatting="1" itemPrintTitles="1" createdVersion="8" indent="0" outline="1" outlineData="1" multipleFieldFilters="0" chartFormat="11" rowHeaderCaption="Win Types">
  <location ref="L3:M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5"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Match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3B350B-24A1-45E8-9E69-10F91ABB804F}" name="PivotTable7" cacheId="25" applyNumberFormats="0" applyBorderFormats="0" applyFontFormats="0" applyPatternFormats="0" applyAlignmentFormats="0" applyWidthHeightFormats="1" dataCaption="Values" tag="d17a2164-536c-45d6-8063-6bbb70d9a3f9" updatedVersion="8" minRefreshableVersion="3" useAutoFormatting="1" itemPrintTitles="1" createdVersion="8" indent="0" outline="1" outlineData="1" multipleFieldFilters="0" chartFormat="9" rowHeaderCaption="Team Name">
  <location ref="I3:J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_Runs"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_Ru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Match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39A75-2C31-41C7-9CB0-68A072883A68}" name="PivotTable5" cacheId="28" applyNumberFormats="0" applyBorderFormats="0" applyFontFormats="0" applyPatternFormats="0" applyAlignmentFormats="0" applyWidthHeightFormats="1" dataCaption="Values" tag="6bb507a9-b011-43b4-894a-b8b782a4b9a8" updatedVersion="8" minRefreshableVersion="3" itemPrintTitles="1" createdVersion="8" indent="0" outline="1" outlineData="1" multipleFieldFilters="0" rowHeaderCaption="Player | Team |Role Name">
  <location ref="A3" firstHeaderRow="0" firstDataRow="0" firstDataCol="0"/>
  <pivotFields count="1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3">
    <field x="0"/>
    <field x="1"/>
    <field x="8"/>
  </rowFields>
  <rowItems count="189">
    <i>
      <x/>
    </i>
    <i r="1">
      <x/>
    </i>
    <i r="2">
      <x/>
    </i>
    <i r="2">
      <x v="1"/>
    </i>
    <i r="2">
      <x v="2"/>
    </i>
    <i>
      <x v="1"/>
    </i>
    <i r="1">
      <x v="1"/>
    </i>
    <i r="2">
      <x/>
    </i>
    <i r="2">
      <x v="3"/>
    </i>
    <i r="2">
      <x v="4"/>
    </i>
    <i r="2">
      <x v="2"/>
    </i>
    <i>
      <x v="2"/>
    </i>
    <i r="1">
      <x v="2"/>
    </i>
    <i r="2">
      <x v="5"/>
    </i>
    <i r="2">
      <x/>
    </i>
    <i r="2">
      <x v="6"/>
    </i>
    <i r="2">
      <x v="3"/>
    </i>
    <i r="2">
      <x v="4"/>
    </i>
    <i r="2">
      <x v="2"/>
    </i>
    <i>
      <x v="3"/>
    </i>
    <i r="1">
      <x v="1"/>
    </i>
    <i r="2">
      <x v="5"/>
    </i>
    <i r="2">
      <x v="4"/>
    </i>
    <i r="2">
      <x v="2"/>
    </i>
    <i>
      <x v="4"/>
    </i>
    <i r="1">
      <x v="2"/>
    </i>
    <i r="2">
      <x v="7"/>
    </i>
    <i r="2">
      <x v="1"/>
    </i>
    <i r="2">
      <x v="2"/>
    </i>
    <i>
      <x v="5"/>
    </i>
    <i r="1">
      <x v="1"/>
    </i>
    <i r="2">
      <x v="8"/>
    </i>
    <i r="2">
      <x v="5"/>
    </i>
    <i r="2">
      <x v="6"/>
    </i>
    <i r="2">
      <x v="1"/>
    </i>
    <i r="2">
      <x v="2"/>
    </i>
    <i>
      <x v="6"/>
    </i>
    <i r="1">
      <x/>
    </i>
    <i r="2">
      <x v="5"/>
    </i>
    <i r="2">
      <x/>
    </i>
    <i r="2">
      <x v="6"/>
    </i>
    <i r="2">
      <x v="1"/>
    </i>
    <i>
      <x v="7"/>
    </i>
    <i r="1">
      <x v="2"/>
    </i>
    <i r="2">
      <x v="8"/>
    </i>
    <i r="2">
      <x v="6"/>
    </i>
    <i r="2">
      <x v="2"/>
    </i>
    <i>
      <x v="8"/>
    </i>
    <i r="1">
      <x v="3"/>
    </i>
    <i r="2">
      <x v="7"/>
    </i>
    <i>
      <x v="9"/>
    </i>
    <i r="1">
      <x v="1"/>
    </i>
    <i r="2">
      <x v="8"/>
    </i>
    <i r="2">
      <x v="4"/>
    </i>
    <i r="2">
      <x v="7"/>
    </i>
    <i r="2">
      <x v="2"/>
    </i>
    <i>
      <x v="10"/>
    </i>
    <i r="1">
      <x v="1"/>
    </i>
    <i r="2">
      <x v="6"/>
    </i>
    <i r="2">
      <x v="3"/>
    </i>
    <i r="2">
      <x v="2"/>
    </i>
    <i>
      <x v="11"/>
    </i>
    <i r="1">
      <x v="3"/>
    </i>
    <i r="2">
      <x/>
    </i>
    <i r="2">
      <x v="6"/>
    </i>
    <i r="2">
      <x v="1"/>
    </i>
    <i r="2">
      <x v="2"/>
    </i>
    <i>
      <x v="12"/>
    </i>
    <i r="1">
      <x v="3"/>
    </i>
    <i r="2">
      <x v="5"/>
    </i>
    <i r="2">
      <x v="6"/>
    </i>
    <i r="2">
      <x v="4"/>
    </i>
    <i r="2">
      <x v="2"/>
    </i>
    <i>
      <x v="13"/>
    </i>
    <i r="1">
      <x v="2"/>
    </i>
    <i r="2">
      <x v="8"/>
    </i>
    <i r="2">
      <x v="6"/>
    </i>
    <i r="2">
      <x v="4"/>
    </i>
    <i r="2">
      <x v="7"/>
    </i>
    <i r="2">
      <x v="1"/>
    </i>
    <i r="2">
      <x v="2"/>
    </i>
    <i>
      <x v="14"/>
    </i>
    <i r="1">
      <x v="3"/>
    </i>
    <i r="2">
      <x v="3"/>
    </i>
    <i r="2">
      <x v="1"/>
    </i>
    <i>
      <x v="15"/>
    </i>
    <i r="1">
      <x v="3"/>
    </i>
    <i r="2">
      <x v="8"/>
    </i>
    <i r="2">
      <x v="4"/>
    </i>
    <i r="2">
      <x v="7"/>
    </i>
    <i r="2">
      <x v="2"/>
    </i>
    <i>
      <x v="16"/>
    </i>
    <i r="1">
      <x v="2"/>
    </i>
    <i r="2">
      <x v="3"/>
    </i>
    <i r="2">
      <x v="2"/>
    </i>
    <i>
      <x v="17"/>
    </i>
    <i r="1">
      <x v="2"/>
    </i>
    <i r="2">
      <x v="5"/>
    </i>
    <i r="2">
      <x v="3"/>
    </i>
    <i r="2">
      <x v="4"/>
    </i>
    <i r="2">
      <x v="2"/>
    </i>
    <i>
      <x v="18"/>
    </i>
    <i r="1">
      <x v="1"/>
    </i>
    <i r="2">
      <x v="8"/>
    </i>
    <i r="2">
      <x v="3"/>
    </i>
    <i r="2">
      <x v="7"/>
    </i>
    <i r="2">
      <x v="2"/>
    </i>
    <i>
      <x v="19"/>
    </i>
    <i r="1">
      <x v="2"/>
    </i>
    <i r="2">
      <x/>
    </i>
    <i>
      <x v="20"/>
    </i>
    <i r="1">
      <x v="1"/>
    </i>
    <i r="2">
      <x v="8"/>
    </i>
    <i r="2">
      <x v="3"/>
    </i>
    <i r="2">
      <x v="7"/>
    </i>
    <i r="2">
      <x v="2"/>
    </i>
    <i>
      <x v="21"/>
    </i>
    <i r="1">
      <x v="2"/>
    </i>
    <i r="2">
      <x v="6"/>
    </i>
    <i r="2">
      <x v="7"/>
    </i>
    <i r="2">
      <x v="1"/>
    </i>
    <i r="2">
      <x v="2"/>
    </i>
    <i>
      <x v="22"/>
    </i>
    <i r="1">
      <x/>
    </i>
    <i r="2">
      <x v="8"/>
    </i>
    <i r="2">
      <x/>
    </i>
    <i r="2">
      <x v="6"/>
    </i>
    <i r="2">
      <x v="2"/>
    </i>
    <i>
      <x v="23"/>
    </i>
    <i r="1">
      <x v="1"/>
    </i>
    <i r="2">
      <x v="8"/>
    </i>
    <i r="2">
      <x v="3"/>
    </i>
    <i r="2">
      <x v="2"/>
    </i>
    <i>
      <x v="24"/>
    </i>
    <i r="1">
      <x v="1"/>
    </i>
    <i r="2">
      <x v="5"/>
    </i>
    <i r="2">
      <x/>
    </i>
    <i r="2">
      <x v="4"/>
    </i>
    <i r="2">
      <x v="7"/>
    </i>
    <i r="2">
      <x v="2"/>
    </i>
    <i>
      <x v="25"/>
    </i>
    <i r="1">
      <x/>
    </i>
    <i r="2">
      <x v="5"/>
    </i>
    <i r="2">
      <x v="6"/>
    </i>
    <i r="2">
      <x v="7"/>
    </i>
    <i r="2">
      <x v="2"/>
    </i>
    <i>
      <x v="26"/>
    </i>
    <i r="1">
      <x v="1"/>
    </i>
    <i r="2">
      <x v="6"/>
    </i>
    <i r="2">
      <x v="2"/>
    </i>
    <i>
      <x v="27"/>
    </i>
    <i r="1">
      <x/>
    </i>
    <i r="2">
      <x v="3"/>
    </i>
    <i r="2">
      <x v="4"/>
    </i>
    <i r="2">
      <x v="1"/>
    </i>
    <i r="2">
      <x v="2"/>
    </i>
    <i>
      <x v="28"/>
    </i>
    <i r="1">
      <x v="2"/>
    </i>
    <i r="2">
      <x v="4"/>
    </i>
    <i r="2">
      <x v="1"/>
    </i>
    <i r="2">
      <x v="2"/>
    </i>
    <i>
      <x v="29"/>
    </i>
    <i r="1">
      <x v="2"/>
    </i>
    <i r="2">
      <x/>
    </i>
    <i r="2">
      <x v="1"/>
    </i>
    <i r="2">
      <x v="2"/>
    </i>
    <i>
      <x v="30"/>
    </i>
    <i r="1">
      <x/>
    </i>
    <i r="2">
      <x v="8"/>
    </i>
    <i r="2">
      <x v="5"/>
    </i>
    <i r="2">
      <x/>
    </i>
    <i r="2">
      <x v="7"/>
    </i>
    <i r="2">
      <x v="1"/>
    </i>
    <i r="2">
      <x v="2"/>
    </i>
    <i>
      <x v="31"/>
    </i>
    <i r="1">
      <x/>
    </i>
    <i r="2">
      <x v="5"/>
    </i>
    <i r="2">
      <x v="3"/>
    </i>
    <i r="2">
      <x v="4"/>
    </i>
    <i r="2">
      <x v="7"/>
    </i>
    <i r="2">
      <x v="2"/>
    </i>
    <i>
      <x v="32"/>
    </i>
    <i r="1">
      <x v="2"/>
    </i>
    <i r="2">
      <x v="5"/>
    </i>
    <i r="2">
      <x/>
    </i>
    <i r="2">
      <x v="6"/>
    </i>
    <i r="2">
      <x v="4"/>
    </i>
    <i r="2">
      <x v="2"/>
    </i>
    <i t="grand">
      <x/>
    </i>
  </rowItems>
  <colFields count="1">
    <field x="-2"/>
  </colFields>
  <colItems count="6">
    <i>
      <x/>
    </i>
    <i i="1">
      <x v="1"/>
    </i>
    <i i="2">
      <x v="2"/>
    </i>
    <i i="3">
      <x v="3"/>
    </i>
    <i i="4">
      <x v="4"/>
    </i>
    <i i="5">
      <x v="5"/>
    </i>
  </colItems>
  <dataFields count="6">
    <dataField name="Total_  Runs" fld="2" baseField="0" baseItem="0"/>
    <dataField name="  Balls_Faced" fld="3" baseField="0" baseItem="0"/>
    <dataField name="Sum of Wickets" fld="4" baseField="0" baseItem="0"/>
    <dataField name="  Runs_Conceded" fld="5" baseField="0" baseItem="0"/>
    <dataField name="  Strike_Rate" fld="6" baseField="0" baseItem="0"/>
    <dataField name=" Economy" fld="7" baseField="0" baseItem="0"/>
  </dataField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  Runs"/>
    <pivotHierarchy dragToData="1" caption="  Balls_Faced"/>
    <pivotHierarchy dragToData="1"/>
    <pivotHierarchy dragToData="1" caption="  Runs_Conceded"/>
    <pivotHierarchy dragToData="1" caption="  Strike_Rate"/>
    <pivotHierarchy dragToData="1" caption=" Economy"/>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A42DD1-883E-4EF8-AE13-CA67919BD909}" name="PivotTable8" cacheId="34" applyNumberFormats="0" applyBorderFormats="0" applyFontFormats="0" applyPatternFormats="0" applyAlignmentFormats="0" applyWidthHeightFormats="1" dataCaption="Values" tag="6bb507a9-b011-43b4-894a-b8b782a4b9a8" updatedVersion="8" minRefreshableVersion="3" useAutoFormatting="1" subtotalHiddenItems="1" itemPrintTitles="1" createdVersion="8" indent="0" outline="1" outlineData="1" multipleFieldFilters="0" chartFormat="10" rowHeaderCaption="Player  Name">
  <location ref="I40:K229" firstHeaderRow="0" firstDataRow="1" firstDataCol="1"/>
  <pivotFields count="6">
    <pivotField axis="axisRow" allDrilled="1" subtotalTop="0" showAll="0" defaultSubtotal="0" defaultAttributeDrillState="1">
      <items count="33">
        <item x="5"/>
        <item x="30"/>
        <item x="6"/>
        <item x="2"/>
        <item x="3"/>
        <item x="12"/>
        <item x="17"/>
        <item x="24"/>
        <item x="25"/>
        <item x="31"/>
        <item x="32"/>
        <item x="0"/>
        <item x="1"/>
        <item x="4"/>
        <item x="7"/>
        <item x="8"/>
        <item x="9"/>
        <item x="10"/>
        <item x="11"/>
        <item x="13"/>
        <item x="14"/>
        <item x="15"/>
        <item x="16"/>
        <item x="18"/>
        <item x="19"/>
        <item x="20"/>
        <item x="21"/>
        <item x="22"/>
        <item x="23"/>
        <item x="26"/>
        <item x="27"/>
        <item x="28"/>
        <item x="29"/>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89">
    <i>
      <x/>
    </i>
    <i r="1">
      <x v="1"/>
    </i>
    <i r="2">
      <x v="8"/>
    </i>
    <i r="2">
      <x v="5"/>
    </i>
    <i r="2">
      <x v="6"/>
    </i>
    <i r="2">
      <x v="1"/>
    </i>
    <i r="2">
      <x v="2"/>
    </i>
    <i>
      <x v="1"/>
    </i>
    <i r="1">
      <x/>
    </i>
    <i r="2">
      <x v="8"/>
    </i>
    <i r="2">
      <x v="5"/>
    </i>
    <i r="2">
      <x/>
    </i>
    <i r="2">
      <x v="7"/>
    </i>
    <i r="2">
      <x v="1"/>
    </i>
    <i r="2">
      <x v="2"/>
    </i>
    <i>
      <x v="2"/>
    </i>
    <i r="1">
      <x/>
    </i>
    <i r="2">
      <x v="5"/>
    </i>
    <i r="2">
      <x/>
    </i>
    <i r="2">
      <x v="6"/>
    </i>
    <i r="2">
      <x v="1"/>
    </i>
    <i>
      <x v="3"/>
    </i>
    <i r="1">
      <x v="2"/>
    </i>
    <i r="2">
      <x v="5"/>
    </i>
    <i r="2">
      <x/>
    </i>
    <i r="2">
      <x v="6"/>
    </i>
    <i r="2">
      <x v="3"/>
    </i>
    <i r="2">
      <x v="4"/>
    </i>
    <i r="2">
      <x v="2"/>
    </i>
    <i>
      <x v="4"/>
    </i>
    <i r="1">
      <x v="1"/>
    </i>
    <i r="2">
      <x v="5"/>
    </i>
    <i r="2">
      <x v="4"/>
    </i>
    <i r="2">
      <x v="2"/>
    </i>
    <i>
      <x v="5"/>
    </i>
    <i r="1">
      <x v="3"/>
    </i>
    <i r="2">
      <x v="5"/>
    </i>
    <i r="2">
      <x v="6"/>
    </i>
    <i r="2">
      <x v="4"/>
    </i>
    <i r="2">
      <x v="2"/>
    </i>
    <i>
      <x v="6"/>
    </i>
    <i r="1">
      <x v="2"/>
    </i>
    <i r="2">
      <x v="5"/>
    </i>
    <i r="2">
      <x v="3"/>
    </i>
    <i r="2">
      <x v="4"/>
    </i>
    <i r="2">
      <x v="2"/>
    </i>
    <i>
      <x v="7"/>
    </i>
    <i r="1">
      <x v="1"/>
    </i>
    <i r="2">
      <x v="5"/>
    </i>
    <i r="2">
      <x/>
    </i>
    <i r="2">
      <x v="4"/>
    </i>
    <i r="2">
      <x v="7"/>
    </i>
    <i r="2">
      <x v="2"/>
    </i>
    <i>
      <x v="8"/>
    </i>
    <i r="1">
      <x/>
    </i>
    <i r="2">
      <x v="5"/>
    </i>
    <i r="2">
      <x v="6"/>
    </i>
    <i r="2">
      <x v="7"/>
    </i>
    <i r="2">
      <x v="2"/>
    </i>
    <i>
      <x v="9"/>
    </i>
    <i r="1">
      <x/>
    </i>
    <i r="2">
      <x v="5"/>
    </i>
    <i r="2">
      <x v="3"/>
    </i>
    <i r="2">
      <x v="4"/>
    </i>
    <i r="2">
      <x v="7"/>
    </i>
    <i r="2">
      <x v="2"/>
    </i>
    <i>
      <x v="10"/>
    </i>
    <i r="1">
      <x v="2"/>
    </i>
    <i r="2">
      <x v="5"/>
    </i>
    <i r="2">
      <x/>
    </i>
    <i r="2">
      <x v="6"/>
    </i>
    <i r="2">
      <x v="4"/>
    </i>
    <i r="2">
      <x v="2"/>
    </i>
    <i>
      <x v="11"/>
    </i>
    <i r="1">
      <x/>
    </i>
    <i r="2">
      <x/>
    </i>
    <i r="2">
      <x v="1"/>
    </i>
    <i r="2">
      <x v="2"/>
    </i>
    <i>
      <x v="12"/>
    </i>
    <i r="1">
      <x v="1"/>
    </i>
    <i r="2">
      <x/>
    </i>
    <i r="2">
      <x v="3"/>
    </i>
    <i r="2">
      <x v="4"/>
    </i>
    <i r="2">
      <x v="2"/>
    </i>
    <i>
      <x v="13"/>
    </i>
    <i r="1">
      <x v="2"/>
    </i>
    <i r="2">
      <x v="7"/>
    </i>
    <i r="2">
      <x v="1"/>
    </i>
    <i r="2">
      <x v="2"/>
    </i>
    <i>
      <x v="14"/>
    </i>
    <i r="1">
      <x v="2"/>
    </i>
    <i r="2">
      <x v="8"/>
    </i>
    <i r="2">
      <x v="6"/>
    </i>
    <i r="2">
      <x v="2"/>
    </i>
    <i>
      <x v="15"/>
    </i>
    <i r="1">
      <x v="3"/>
    </i>
    <i r="2">
      <x v="7"/>
    </i>
    <i>
      <x v="16"/>
    </i>
    <i r="1">
      <x v="1"/>
    </i>
    <i r="2">
      <x v="8"/>
    </i>
    <i r="2">
      <x v="4"/>
    </i>
    <i r="2">
      <x v="7"/>
    </i>
    <i r="2">
      <x v="2"/>
    </i>
    <i>
      <x v="17"/>
    </i>
    <i r="1">
      <x v="1"/>
    </i>
    <i r="2">
      <x v="6"/>
    </i>
    <i r="2">
      <x v="3"/>
    </i>
    <i r="2">
      <x v="2"/>
    </i>
    <i>
      <x v="18"/>
    </i>
    <i r="1">
      <x v="3"/>
    </i>
    <i r="2">
      <x/>
    </i>
    <i r="2">
      <x v="6"/>
    </i>
    <i r="2">
      <x v="1"/>
    </i>
    <i r="2">
      <x v="2"/>
    </i>
    <i>
      <x v="19"/>
    </i>
    <i r="1">
      <x v="2"/>
    </i>
    <i r="2">
      <x v="8"/>
    </i>
    <i r="2">
      <x v="6"/>
    </i>
    <i r="2">
      <x v="4"/>
    </i>
    <i r="2">
      <x v="7"/>
    </i>
    <i r="2">
      <x v="1"/>
    </i>
    <i r="2">
      <x v="2"/>
    </i>
    <i>
      <x v="20"/>
    </i>
    <i r="1">
      <x v="3"/>
    </i>
    <i r="2">
      <x v="3"/>
    </i>
    <i r="2">
      <x v="1"/>
    </i>
    <i>
      <x v="21"/>
    </i>
    <i r="1">
      <x v="3"/>
    </i>
    <i r="2">
      <x v="8"/>
    </i>
    <i r="2">
      <x v="4"/>
    </i>
    <i r="2">
      <x v="7"/>
    </i>
    <i r="2">
      <x v="2"/>
    </i>
    <i>
      <x v="22"/>
    </i>
    <i r="1">
      <x v="2"/>
    </i>
    <i r="2">
      <x v="3"/>
    </i>
    <i r="2">
      <x v="2"/>
    </i>
    <i>
      <x v="23"/>
    </i>
    <i r="1">
      <x v="1"/>
    </i>
    <i r="2">
      <x v="8"/>
    </i>
    <i r="2">
      <x v="3"/>
    </i>
    <i r="2">
      <x v="7"/>
    </i>
    <i r="2">
      <x v="2"/>
    </i>
    <i>
      <x v="24"/>
    </i>
    <i r="1">
      <x v="2"/>
    </i>
    <i r="2">
      <x/>
    </i>
    <i>
      <x v="25"/>
    </i>
    <i r="1">
      <x v="1"/>
    </i>
    <i r="2">
      <x v="8"/>
    </i>
    <i r="2">
      <x v="3"/>
    </i>
    <i r="2">
      <x v="7"/>
    </i>
    <i r="2">
      <x v="2"/>
    </i>
    <i>
      <x v="26"/>
    </i>
    <i r="1">
      <x v="2"/>
    </i>
    <i r="2">
      <x v="6"/>
    </i>
    <i r="2">
      <x v="7"/>
    </i>
    <i r="2">
      <x v="1"/>
    </i>
    <i r="2">
      <x v="2"/>
    </i>
    <i>
      <x v="27"/>
    </i>
    <i r="1">
      <x/>
    </i>
    <i r="2">
      <x v="8"/>
    </i>
    <i r="2">
      <x/>
    </i>
    <i r="2">
      <x v="6"/>
    </i>
    <i r="2">
      <x v="2"/>
    </i>
    <i>
      <x v="28"/>
    </i>
    <i r="1">
      <x v="1"/>
    </i>
    <i r="2">
      <x v="8"/>
    </i>
    <i r="2">
      <x v="3"/>
    </i>
    <i r="2">
      <x v="2"/>
    </i>
    <i>
      <x v="29"/>
    </i>
    <i r="1">
      <x v="1"/>
    </i>
    <i r="2">
      <x v="6"/>
    </i>
    <i r="2">
      <x v="2"/>
    </i>
    <i>
      <x v="30"/>
    </i>
    <i r="1">
      <x/>
    </i>
    <i r="2">
      <x v="3"/>
    </i>
    <i r="2">
      <x v="4"/>
    </i>
    <i r="2">
      <x v="1"/>
    </i>
    <i r="2">
      <x v="2"/>
    </i>
    <i>
      <x v="31"/>
    </i>
    <i r="1">
      <x v="2"/>
    </i>
    <i r="2">
      <x v="4"/>
    </i>
    <i r="2">
      <x v="1"/>
    </i>
    <i r="2">
      <x v="2"/>
    </i>
    <i>
      <x v="32"/>
    </i>
    <i r="1">
      <x v="2"/>
    </i>
    <i r="2">
      <x/>
    </i>
    <i r="2">
      <x v="1"/>
    </i>
    <i r="2">
      <x v="2"/>
    </i>
    <i t="grand">
      <x/>
    </i>
  </rowItems>
  <colFields count="1">
    <field x="-2"/>
  </colFields>
  <colItems count="2">
    <i>
      <x/>
    </i>
    <i i="1">
      <x v="1"/>
    </i>
  </colItems>
  <dataFields count="2">
    <dataField fld="3" subtotal="count" baseField="0" baseItem="0"/>
    <dataField name="Sum of Strike_Rate" fld="4"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  Runs"/>
    <pivotHierarchy dragToData="1" caption="  Balls_Faced"/>
    <pivotHierarchy dragToData="1"/>
    <pivotHierarchy dragToData="1" caption="  Runs_Conceded"/>
    <pivotHierarchy dragToData="1" caption="  Strike_Rate"/>
    <pivotHierarchy dragToData="1" caption=" Economy"/>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4EB443-6D8A-4DC0-B748-AD8B4F447EC9}" name="PivotTable9" cacheId="37" applyNumberFormats="0" applyBorderFormats="0" applyFontFormats="0" applyPatternFormats="0" applyAlignmentFormats="0" applyWidthHeightFormats="1" dataCaption="Values" tag="6bb507a9-b011-43b4-894a-b8b782a4b9a8" updatedVersion="8" minRefreshableVersion="3" useAutoFormatting="1" subtotalHiddenItems="1" itemPrintTitles="1" createdVersion="8" indent="0" outline="1" outlineData="1" multipleFieldFilters="0" chartFormat="7" rowHeaderCaption="Player  Name">
  <location ref="S3:T37" firstHeaderRow="1" firstDataRow="1" firstDataCol="1"/>
  <pivotFields count="5">
    <pivotField axis="axisRow" allDrilled="1" subtotalTop="0" showAll="0"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3" baseField="0" baseItem="0"/>
  </dataFields>
  <chartFormats count="46">
    <chartFormat chart="4" format="0" series="1">
      <pivotArea type="data" outline="0" fieldPosition="0">
        <references count="1">
          <reference field="4294967294" count="1" selected="0">
            <x v="0"/>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0" count="1" selected="0">
            <x v="0"/>
          </reference>
        </references>
      </pivotArea>
    </chartFormat>
    <chartFormat chart="6" format="37">
      <pivotArea type="data" outline="0" fieldPosition="0">
        <references count="2">
          <reference field="4294967294" count="1" selected="0">
            <x v="0"/>
          </reference>
          <reference field="0" count="1" selected="0">
            <x v="1"/>
          </reference>
        </references>
      </pivotArea>
    </chartFormat>
    <chartFormat chart="6" format="38">
      <pivotArea type="data" outline="0" fieldPosition="0">
        <references count="2">
          <reference field="4294967294" count="1" selected="0">
            <x v="0"/>
          </reference>
          <reference field="0" count="1" selected="0">
            <x v="2"/>
          </reference>
        </references>
      </pivotArea>
    </chartFormat>
    <chartFormat chart="6" format="39">
      <pivotArea type="data" outline="0" fieldPosition="0">
        <references count="2">
          <reference field="4294967294" count="1" selected="0">
            <x v="0"/>
          </reference>
          <reference field="0" count="1" selected="0">
            <x v="3"/>
          </reference>
        </references>
      </pivotArea>
    </chartFormat>
    <chartFormat chart="6" format="40">
      <pivotArea type="data" outline="0" fieldPosition="0">
        <references count="2">
          <reference field="4294967294" count="1" selected="0">
            <x v="0"/>
          </reference>
          <reference field="0" count="1" selected="0">
            <x v="4"/>
          </reference>
        </references>
      </pivotArea>
    </chartFormat>
    <chartFormat chart="6" format="41">
      <pivotArea type="data" outline="0" fieldPosition="0">
        <references count="2">
          <reference field="4294967294" count="1" selected="0">
            <x v="0"/>
          </reference>
          <reference field="0" count="1" selected="0">
            <x v="5"/>
          </reference>
        </references>
      </pivotArea>
    </chartFormat>
    <chartFormat chart="6" format="42">
      <pivotArea type="data" outline="0" fieldPosition="0">
        <references count="2">
          <reference field="4294967294" count="1" selected="0">
            <x v="0"/>
          </reference>
          <reference field="0" count="1" selected="0">
            <x v="6"/>
          </reference>
        </references>
      </pivotArea>
    </chartFormat>
    <chartFormat chart="6" format="43">
      <pivotArea type="data" outline="0" fieldPosition="0">
        <references count="2">
          <reference field="4294967294" count="1" selected="0">
            <x v="0"/>
          </reference>
          <reference field="0" count="1" selected="0">
            <x v="7"/>
          </reference>
        </references>
      </pivotArea>
    </chartFormat>
    <chartFormat chart="6" format="44">
      <pivotArea type="data" outline="0" fieldPosition="0">
        <references count="2">
          <reference field="4294967294" count="1" selected="0">
            <x v="0"/>
          </reference>
          <reference field="0" count="1" selected="0">
            <x v="8"/>
          </reference>
        </references>
      </pivotArea>
    </chartFormat>
    <chartFormat chart="6" format="45">
      <pivotArea type="data" outline="0" fieldPosition="0">
        <references count="2">
          <reference field="4294967294" count="1" selected="0">
            <x v="0"/>
          </reference>
          <reference field="0" count="1" selected="0">
            <x v="9"/>
          </reference>
        </references>
      </pivotArea>
    </chartFormat>
    <chartFormat chart="6" format="46">
      <pivotArea type="data" outline="0" fieldPosition="0">
        <references count="2">
          <reference field="4294967294" count="1" selected="0">
            <x v="0"/>
          </reference>
          <reference field="0" count="1" selected="0">
            <x v="10"/>
          </reference>
        </references>
      </pivotArea>
    </chartFormat>
    <chartFormat chart="6" format="47">
      <pivotArea type="data" outline="0" fieldPosition="0">
        <references count="2">
          <reference field="4294967294" count="1" selected="0">
            <x v="0"/>
          </reference>
          <reference field="0" count="1" selected="0">
            <x v="11"/>
          </reference>
        </references>
      </pivotArea>
    </chartFormat>
    <chartFormat chart="6" format="48">
      <pivotArea type="data" outline="0" fieldPosition="0">
        <references count="2">
          <reference field="4294967294" count="1" selected="0">
            <x v="0"/>
          </reference>
          <reference field="0" count="1" selected="0">
            <x v="12"/>
          </reference>
        </references>
      </pivotArea>
    </chartFormat>
    <chartFormat chart="6" format="49">
      <pivotArea type="data" outline="0" fieldPosition="0">
        <references count="2">
          <reference field="4294967294" count="1" selected="0">
            <x v="0"/>
          </reference>
          <reference field="0" count="1" selected="0">
            <x v="13"/>
          </reference>
        </references>
      </pivotArea>
    </chartFormat>
    <chartFormat chart="6" format="50">
      <pivotArea type="data" outline="0" fieldPosition="0">
        <references count="2">
          <reference field="4294967294" count="1" selected="0">
            <x v="0"/>
          </reference>
          <reference field="0" count="1" selected="0">
            <x v="14"/>
          </reference>
        </references>
      </pivotArea>
    </chartFormat>
    <chartFormat chart="6" format="51">
      <pivotArea type="data" outline="0" fieldPosition="0">
        <references count="2">
          <reference field="4294967294" count="1" selected="0">
            <x v="0"/>
          </reference>
          <reference field="0" count="1" selected="0">
            <x v="15"/>
          </reference>
        </references>
      </pivotArea>
    </chartFormat>
    <chartFormat chart="6" format="52">
      <pivotArea type="data" outline="0" fieldPosition="0">
        <references count="2">
          <reference field="4294967294" count="1" selected="0">
            <x v="0"/>
          </reference>
          <reference field="0" count="1" selected="0">
            <x v="16"/>
          </reference>
        </references>
      </pivotArea>
    </chartFormat>
    <chartFormat chart="6" format="53">
      <pivotArea type="data" outline="0" fieldPosition="0">
        <references count="2">
          <reference field="4294967294" count="1" selected="0">
            <x v="0"/>
          </reference>
          <reference field="0" count="1" selected="0">
            <x v="17"/>
          </reference>
        </references>
      </pivotArea>
    </chartFormat>
    <chartFormat chart="6" format="54">
      <pivotArea type="data" outline="0" fieldPosition="0">
        <references count="2">
          <reference field="4294967294" count="1" selected="0">
            <x v="0"/>
          </reference>
          <reference field="0" count="1" selected="0">
            <x v="18"/>
          </reference>
        </references>
      </pivotArea>
    </chartFormat>
    <chartFormat chart="6" format="55">
      <pivotArea type="data" outline="0" fieldPosition="0">
        <references count="2">
          <reference field="4294967294" count="1" selected="0">
            <x v="0"/>
          </reference>
          <reference field="0" count="1" selected="0">
            <x v="19"/>
          </reference>
        </references>
      </pivotArea>
    </chartFormat>
    <chartFormat chart="6" format="56">
      <pivotArea type="data" outline="0" fieldPosition="0">
        <references count="2">
          <reference field="4294967294" count="1" selected="0">
            <x v="0"/>
          </reference>
          <reference field="0" count="1" selected="0">
            <x v="20"/>
          </reference>
        </references>
      </pivotArea>
    </chartFormat>
    <chartFormat chart="6" format="57">
      <pivotArea type="data" outline="0" fieldPosition="0">
        <references count="2">
          <reference field="4294967294" count="1" selected="0">
            <x v="0"/>
          </reference>
          <reference field="0" count="1" selected="0">
            <x v="21"/>
          </reference>
        </references>
      </pivotArea>
    </chartFormat>
    <chartFormat chart="6" format="58">
      <pivotArea type="data" outline="0" fieldPosition="0">
        <references count="2">
          <reference field="4294967294" count="1" selected="0">
            <x v="0"/>
          </reference>
          <reference field="0" count="1" selected="0">
            <x v="22"/>
          </reference>
        </references>
      </pivotArea>
    </chartFormat>
    <chartFormat chart="6" format="59">
      <pivotArea type="data" outline="0" fieldPosition="0">
        <references count="2">
          <reference field="4294967294" count="1" selected="0">
            <x v="0"/>
          </reference>
          <reference field="0" count="1" selected="0">
            <x v="23"/>
          </reference>
        </references>
      </pivotArea>
    </chartFormat>
    <chartFormat chart="6" format="60">
      <pivotArea type="data" outline="0" fieldPosition="0">
        <references count="2">
          <reference field="4294967294" count="1" selected="0">
            <x v="0"/>
          </reference>
          <reference field="0" count="1" selected="0">
            <x v="24"/>
          </reference>
        </references>
      </pivotArea>
    </chartFormat>
    <chartFormat chart="6" format="61">
      <pivotArea type="data" outline="0" fieldPosition="0">
        <references count="2">
          <reference field="4294967294" count="1" selected="0">
            <x v="0"/>
          </reference>
          <reference field="0" count="1" selected="0">
            <x v="25"/>
          </reference>
        </references>
      </pivotArea>
    </chartFormat>
    <chartFormat chart="6" format="62">
      <pivotArea type="data" outline="0" fieldPosition="0">
        <references count="2">
          <reference field="4294967294" count="1" selected="0">
            <x v="0"/>
          </reference>
          <reference field="0" count="1" selected="0">
            <x v="26"/>
          </reference>
        </references>
      </pivotArea>
    </chartFormat>
    <chartFormat chart="6" format="63">
      <pivotArea type="data" outline="0" fieldPosition="0">
        <references count="2">
          <reference field="4294967294" count="1" selected="0">
            <x v="0"/>
          </reference>
          <reference field="0" count="1" selected="0">
            <x v="27"/>
          </reference>
        </references>
      </pivotArea>
    </chartFormat>
    <chartFormat chart="6" format="64">
      <pivotArea type="data" outline="0" fieldPosition="0">
        <references count="2">
          <reference field="4294967294" count="1" selected="0">
            <x v="0"/>
          </reference>
          <reference field="0" count="1" selected="0">
            <x v="28"/>
          </reference>
        </references>
      </pivotArea>
    </chartFormat>
    <chartFormat chart="6" format="65">
      <pivotArea type="data" outline="0" fieldPosition="0">
        <references count="2">
          <reference field="4294967294" count="1" selected="0">
            <x v="0"/>
          </reference>
          <reference field="0" count="1" selected="0">
            <x v="29"/>
          </reference>
        </references>
      </pivotArea>
    </chartFormat>
    <chartFormat chart="6" format="66">
      <pivotArea type="data" outline="0" fieldPosition="0">
        <references count="2">
          <reference field="4294967294" count="1" selected="0">
            <x v="0"/>
          </reference>
          <reference field="0" count="1" selected="0">
            <x v="30"/>
          </reference>
        </references>
      </pivotArea>
    </chartFormat>
    <chartFormat chart="6" format="67">
      <pivotArea type="data" outline="0" fieldPosition="0">
        <references count="2">
          <reference field="4294967294" count="1" selected="0">
            <x v="0"/>
          </reference>
          <reference field="0" count="1" selected="0">
            <x v="31"/>
          </reference>
        </references>
      </pivotArea>
    </chartFormat>
    <chartFormat chart="6" format="68">
      <pivotArea type="data" outline="0" fieldPosition="0">
        <references count="2">
          <reference field="4294967294" count="1" selected="0">
            <x v="0"/>
          </reference>
          <reference field="0" count="1" selected="0">
            <x v="32"/>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9"/>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  Runs"/>
    <pivotHierarchy dragToData="1" caption="  Balls_Faced"/>
    <pivotHierarchy dragToData="1"/>
    <pivotHierarchy dragToData="1" caption="  Runs_Conceded"/>
    <pivotHierarchy dragToData="1" caption="  Strike_Rate"/>
    <pivotHierarchy dragToData="1" caption=" Economy"/>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089226-ABA8-40B6-A0D9-B4562CFBF692}" name="PivotTable7" cacheId="31" applyNumberFormats="0" applyBorderFormats="0" applyFontFormats="0" applyPatternFormats="0" applyAlignmentFormats="0" applyWidthHeightFormats="1" dataCaption="Values" tag="6bb507a9-b011-43b4-894a-b8b782a4b9a8" updatedVersion="8" minRefreshableVersion="3" useAutoFormatting="1" subtotalHiddenItems="1" itemPrintTitles="1" createdVersion="8" indent="0" outline="1" outlineData="1" multipleFieldFilters="0" chartFormat="6" rowHeaderCaption="Player  Name">
  <location ref="A40:B229" firstHeaderRow="1" firstDataRow="1" firstDataCol="1"/>
  <pivotFields count="5">
    <pivotField axis="axisRow" allDrilled="1" subtotalTop="0" showAll="0" defaultSubtotal="0" defaultAttributeDrillState="1">
      <items count="33">
        <item x="5"/>
        <item x="30"/>
        <item x="6"/>
        <item x="2"/>
        <item x="3"/>
        <item x="12"/>
        <item x="17"/>
        <item x="24"/>
        <item x="25"/>
        <item x="31"/>
        <item x="32"/>
        <item x="0"/>
        <item x="1"/>
        <item x="4"/>
        <item x="7"/>
        <item x="8"/>
        <item x="9"/>
        <item x="10"/>
        <item x="11"/>
        <item x="13"/>
        <item x="14"/>
        <item x="15"/>
        <item x="16"/>
        <item x="18"/>
        <item x="19"/>
        <item x="20"/>
        <item x="21"/>
        <item x="22"/>
        <item x="23"/>
        <item x="26"/>
        <item x="27"/>
        <item x="28"/>
        <item x="29"/>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3">
    <field x="0"/>
    <field x="1"/>
    <field x="3"/>
  </rowFields>
  <rowItems count="189">
    <i>
      <x/>
    </i>
    <i r="1">
      <x v="1"/>
    </i>
    <i r="2">
      <x v="8"/>
    </i>
    <i r="2">
      <x v="5"/>
    </i>
    <i r="2">
      <x v="6"/>
    </i>
    <i r="2">
      <x v="1"/>
    </i>
    <i r="2">
      <x v="2"/>
    </i>
    <i>
      <x v="1"/>
    </i>
    <i r="1">
      <x/>
    </i>
    <i r="2">
      <x v="8"/>
    </i>
    <i r="2">
      <x v="5"/>
    </i>
    <i r="2">
      <x/>
    </i>
    <i r="2">
      <x v="7"/>
    </i>
    <i r="2">
      <x v="1"/>
    </i>
    <i r="2">
      <x v="2"/>
    </i>
    <i>
      <x v="2"/>
    </i>
    <i r="1">
      <x/>
    </i>
    <i r="2">
      <x v="5"/>
    </i>
    <i r="2">
      <x/>
    </i>
    <i r="2">
      <x v="6"/>
    </i>
    <i r="2">
      <x v="1"/>
    </i>
    <i>
      <x v="3"/>
    </i>
    <i r="1">
      <x v="2"/>
    </i>
    <i r="2">
      <x v="5"/>
    </i>
    <i r="2">
      <x/>
    </i>
    <i r="2">
      <x v="6"/>
    </i>
    <i r="2">
      <x v="3"/>
    </i>
    <i r="2">
      <x v="4"/>
    </i>
    <i r="2">
      <x v="2"/>
    </i>
    <i>
      <x v="4"/>
    </i>
    <i r="1">
      <x v="1"/>
    </i>
    <i r="2">
      <x v="5"/>
    </i>
    <i r="2">
      <x v="4"/>
    </i>
    <i r="2">
      <x v="2"/>
    </i>
    <i>
      <x v="5"/>
    </i>
    <i r="1">
      <x v="3"/>
    </i>
    <i r="2">
      <x v="5"/>
    </i>
    <i r="2">
      <x v="6"/>
    </i>
    <i r="2">
      <x v="4"/>
    </i>
    <i r="2">
      <x v="2"/>
    </i>
    <i>
      <x v="6"/>
    </i>
    <i r="1">
      <x v="2"/>
    </i>
    <i r="2">
      <x v="5"/>
    </i>
    <i r="2">
      <x v="3"/>
    </i>
    <i r="2">
      <x v="4"/>
    </i>
    <i r="2">
      <x v="2"/>
    </i>
    <i>
      <x v="7"/>
    </i>
    <i r="1">
      <x v="1"/>
    </i>
    <i r="2">
      <x v="5"/>
    </i>
    <i r="2">
      <x/>
    </i>
    <i r="2">
      <x v="4"/>
    </i>
    <i r="2">
      <x v="7"/>
    </i>
    <i r="2">
      <x v="2"/>
    </i>
    <i>
      <x v="8"/>
    </i>
    <i r="1">
      <x/>
    </i>
    <i r="2">
      <x v="5"/>
    </i>
    <i r="2">
      <x v="6"/>
    </i>
    <i r="2">
      <x v="7"/>
    </i>
    <i r="2">
      <x v="2"/>
    </i>
    <i>
      <x v="9"/>
    </i>
    <i r="1">
      <x/>
    </i>
    <i r="2">
      <x v="5"/>
    </i>
    <i r="2">
      <x v="3"/>
    </i>
    <i r="2">
      <x v="4"/>
    </i>
    <i r="2">
      <x v="7"/>
    </i>
    <i r="2">
      <x v="2"/>
    </i>
    <i>
      <x v="10"/>
    </i>
    <i r="1">
      <x v="2"/>
    </i>
    <i r="2">
      <x v="5"/>
    </i>
    <i r="2">
      <x/>
    </i>
    <i r="2">
      <x v="6"/>
    </i>
    <i r="2">
      <x v="4"/>
    </i>
    <i r="2">
      <x v="2"/>
    </i>
    <i>
      <x v="11"/>
    </i>
    <i r="1">
      <x/>
    </i>
    <i r="2">
      <x/>
    </i>
    <i r="2">
      <x v="1"/>
    </i>
    <i r="2">
      <x v="2"/>
    </i>
    <i>
      <x v="12"/>
    </i>
    <i r="1">
      <x v="1"/>
    </i>
    <i r="2">
      <x/>
    </i>
    <i r="2">
      <x v="3"/>
    </i>
    <i r="2">
      <x v="4"/>
    </i>
    <i r="2">
      <x v="2"/>
    </i>
    <i>
      <x v="13"/>
    </i>
    <i r="1">
      <x v="2"/>
    </i>
    <i r="2">
      <x v="7"/>
    </i>
    <i r="2">
      <x v="1"/>
    </i>
    <i r="2">
      <x v="2"/>
    </i>
    <i>
      <x v="14"/>
    </i>
    <i r="1">
      <x v="2"/>
    </i>
    <i r="2">
      <x v="8"/>
    </i>
    <i r="2">
      <x v="6"/>
    </i>
    <i r="2">
      <x v="2"/>
    </i>
    <i>
      <x v="15"/>
    </i>
    <i r="1">
      <x v="3"/>
    </i>
    <i r="2">
      <x v="7"/>
    </i>
    <i>
      <x v="16"/>
    </i>
    <i r="1">
      <x v="1"/>
    </i>
    <i r="2">
      <x v="8"/>
    </i>
    <i r="2">
      <x v="4"/>
    </i>
    <i r="2">
      <x v="7"/>
    </i>
    <i r="2">
      <x v="2"/>
    </i>
    <i>
      <x v="17"/>
    </i>
    <i r="1">
      <x v="1"/>
    </i>
    <i r="2">
      <x v="6"/>
    </i>
    <i r="2">
      <x v="3"/>
    </i>
    <i r="2">
      <x v="2"/>
    </i>
    <i>
      <x v="18"/>
    </i>
    <i r="1">
      <x v="3"/>
    </i>
    <i r="2">
      <x/>
    </i>
    <i r="2">
      <x v="6"/>
    </i>
    <i r="2">
      <x v="1"/>
    </i>
    <i r="2">
      <x v="2"/>
    </i>
    <i>
      <x v="19"/>
    </i>
    <i r="1">
      <x v="2"/>
    </i>
    <i r="2">
      <x v="8"/>
    </i>
    <i r="2">
      <x v="6"/>
    </i>
    <i r="2">
      <x v="4"/>
    </i>
    <i r="2">
      <x v="7"/>
    </i>
    <i r="2">
      <x v="1"/>
    </i>
    <i r="2">
      <x v="2"/>
    </i>
    <i>
      <x v="20"/>
    </i>
    <i r="1">
      <x v="3"/>
    </i>
    <i r="2">
      <x v="3"/>
    </i>
    <i r="2">
      <x v="1"/>
    </i>
    <i>
      <x v="21"/>
    </i>
    <i r="1">
      <x v="3"/>
    </i>
    <i r="2">
      <x v="8"/>
    </i>
    <i r="2">
      <x v="4"/>
    </i>
    <i r="2">
      <x v="7"/>
    </i>
    <i r="2">
      <x v="2"/>
    </i>
    <i>
      <x v="22"/>
    </i>
    <i r="1">
      <x v="2"/>
    </i>
    <i r="2">
      <x v="3"/>
    </i>
    <i r="2">
      <x v="2"/>
    </i>
    <i>
      <x v="23"/>
    </i>
    <i r="1">
      <x v="1"/>
    </i>
    <i r="2">
      <x v="8"/>
    </i>
    <i r="2">
      <x v="3"/>
    </i>
    <i r="2">
      <x v="7"/>
    </i>
    <i r="2">
      <x v="2"/>
    </i>
    <i>
      <x v="24"/>
    </i>
    <i r="1">
      <x v="2"/>
    </i>
    <i r="2">
      <x/>
    </i>
    <i>
      <x v="25"/>
    </i>
    <i r="1">
      <x v="1"/>
    </i>
    <i r="2">
      <x v="8"/>
    </i>
    <i r="2">
      <x v="3"/>
    </i>
    <i r="2">
      <x v="7"/>
    </i>
    <i r="2">
      <x v="2"/>
    </i>
    <i>
      <x v="26"/>
    </i>
    <i r="1">
      <x v="2"/>
    </i>
    <i r="2">
      <x v="6"/>
    </i>
    <i r="2">
      <x v="7"/>
    </i>
    <i r="2">
      <x v="1"/>
    </i>
    <i r="2">
      <x v="2"/>
    </i>
    <i>
      <x v="27"/>
    </i>
    <i r="1">
      <x/>
    </i>
    <i r="2">
      <x v="8"/>
    </i>
    <i r="2">
      <x/>
    </i>
    <i r="2">
      <x v="6"/>
    </i>
    <i r="2">
      <x v="2"/>
    </i>
    <i>
      <x v="28"/>
    </i>
    <i r="1">
      <x v="1"/>
    </i>
    <i r="2">
      <x v="8"/>
    </i>
    <i r="2">
      <x v="3"/>
    </i>
    <i r="2">
      <x v="2"/>
    </i>
    <i>
      <x v="29"/>
    </i>
    <i r="1">
      <x v="1"/>
    </i>
    <i r="2">
      <x v="6"/>
    </i>
    <i r="2">
      <x v="2"/>
    </i>
    <i>
      <x v="30"/>
    </i>
    <i r="1">
      <x/>
    </i>
    <i r="2">
      <x v="3"/>
    </i>
    <i r="2">
      <x v="4"/>
    </i>
    <i r="2">
      <x v="1"/>
    </i>
    <i r="2">
      <x v="2"/>
    </i>
    <i>
      <x v="31"/>
    </i>
    <i r="1">
      <x v="2"/>
    </i>
    <i r="2">
      <x v="4"/>
    </i>
    <i r="2">
      <x v="1"/>
    </i>
    <i r="2">
      <x v="2"/>
    </i>
    <i>
      <x v="32"/>
    </i>
    <i r="1">
      <x v="2"/>
    </i>
    <i r="2">
      <x/>
    </i>
    <i r="2">
      <x v="1"/>
    </i>
    <i r="2">
      <x v="2"/>
    </i>
    <i t="grand">
      <x/>
    </i>
  </rowItems>
  <colItems count="1">
    <i/>
  </colItems>
  <dataFields count="1">
    <dataField name="Sum of Wicket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_  Runs"/>
    <pivotHierarchy dragToData="1" caption="  Balls_Faced"/>
    <pivotHierarchy dragToData="1"/>
    <pivotHierarchy dragToData="1" caption="  Runs_Conceded"/>
    <pivotHierarchy dragToData="1" caption="  Strike_Rate"/>
    <pivotHierarchy dragToData="1" caption=" Economy"/>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1A959F-2D9A-46CD-9FEE-C401C0992F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377CDF1-801E-48A2-8B93-CC463AD01FEA}"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0BE65B88-4CAF-4E48-AFF1-DC7B21A039E0}"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5CE04C3-64C9-4E24-A3A4-0B2F8AE4D492}"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FC7BEDD5-4D45-4EA0-899E-F574A4F47162}"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EBAA7FF-E435-4F6C-BBFB-7C72B3D0750C}"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6</v>
    <v>8</v>
    <v>189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8CEF5D64-E12B-4ED3-AFB1-08633A614044}" sourceName="[dim_team].[Team_Name]">
  <pivotTables>
    <pivotTable tabId="9" name="PivotTable1"/>
    <pivotTable tabId="9" name="PivotTable2"/>
    <pivotTable tabId="9" name="PivotTable3"/>
    <pivotTable tabId="9" name="PivotTable6"/>
    <pivotTable tabId="9" name="PivotTable7"/>
    <pivotTable tabId="13" name="PivotTable5"/>
    <pivotTable tabId="13" name="PivotTable7"/>
    <pivotTable tabId="13" name="PivotTable8"/>
    <pivotTable tabId="13" name="PivotTable9"/>
  </pivotTables>
  <data>
    <olap pivotCacheId="2108558923">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4D16BAF6-D5D5-421F-9BBA-0594EB7DF494}" sourceName="[dim_venue].[Venue_Name]">
  <pivotTables>
    <pivotTable tabId="9" name="PivotTable1"/>
    <pivotTable tabId="9" name="PivotTable2"/>
    <pivotTable tabId="9" name="PivotTable3"/>
    <pivotTable tabId="9" name="PivotTable6"/>
    <pivotTable tabId="9" name="PivotTable7"/>
    <pivotTable tabId="13" name="PivotTable5"/>
    <pivotTable tabId="13" name="PivotTable7"/>
    <pivotTable tabId="13" name="PivotTable8"/>
    <pivotTable tabId="13" name="PivotTable9"/>
  </pivotTables>
  <data>
    <olap pivotCacheId="2108558923">
      <levels count="2">
        <level uniqueName="[dim_venue].[Venue_Name].[(All)]" sourceCaption="(All)" count="0"/>
        <level uniqueName="[dim_venue].[Venue_Name].[Venue_Name]" sourceCaption="Venue_Name" count="11">
          <ranges>
            <range startItem="0">
              <i n="[dim_venue].[Venue_Name].&amp;[Arun Jaitley Stadium]" c="Arun Jaitley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Rajiv Gandhi Int. Stadium]" c="Rajiv Gandhi Int. Stadium"/>
              <i n="[dim_venue].[Venue_Name].&amp;[Sawai Mansingh Stadium]" c="Sawai Mansingh Stadium"/>
              <i n="[dim_venue].[Venue_Name].&amp;[Wankhede Stadium]" c="Wankhede Stadium"/>
              <i n="[dim_venue].[Venue_Name].&amp;[Bharat Ratna Shri Atal Bihari Vajpayee Ekana Cricket Stadium]" c="Bharat Ratna Shri Atal Bihari Vajpayee Ekana Cricket Stadium"/>
              <i n="[dim_venue].[Venue_Name].&amp;[Narendra Modi Stadium]" c="Narendra Modi Stadium"/>
              <i n="[dim_venue].[Venue_Name].&amp;" c="(blank)"/>
            </range>
          </ranges>
        </level>
      </levels>
      <selections count="1">
        <selection n="[dim_venue].[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C07AF7EF-9525-4437-A8DB-1DF197FD33FD}" cache="Slicer_Team_Name" caption="Team_Name" level="1" rowHeight="247650"/>
  <slicer name="Venue_Name" xr10:uid="{405958A8-F29F-47CF-9F3D-C5014D05AFF0}" cache="Slicer_Venue_Name" caption="Venue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03497C57-22A9-474E-8B34-718C4BB137E3}" cache="Slicer_Venue_Name" caption="Venu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B292C9-F931-454D-B21D-E0034A191D81}" name="fact_player" displayName="fact_player" ref="A1:K202" tableType="queryTable" totalsRowShown="0">
  <autoFilter ref="A1:K202" xr:uid="{C0B292C9-F931-454D-B21D-E0034A191D81}"/>
  <tableColumns count="11">
    <tableColumn id="1" xr3:uid="{D796C504-765B-437C-A209-EF0E8E21EA73}" uniqueName="1" name="Match_ID" queryTableFieldId="1" dataDxfId="26"/>
    <tableColumn id="2" xr3:uid="{E5879491-C8A3-46FF-88D2-6BD397142196}" uniqueName="2" name="Player_ID" queryTableFieldId="2" dataDxfId="25"/>
    <tableColumn id="3" xr3:uid="{0BC26590-5997-44FB-8E29-05CAA7F6DAA6}" uniqueName="3" name="Runs" queryTableFieldId="3"/>
    <tableColumn id="4" xr3:uid="{6AD1F735-1DA8-474C-9F12-B19798668488}" uniqueName="4" name="Balls_Faced" queryTableFieldId="4"/>
    <tableColumn id="5" xr3:uid="{C1A4E54F-70C7-4CC3-B014-DBD2ED23BB64}" uniqueName="5" name="Fours" queryTableFieldId="5"/>
    <tableColumn id="6" xr3:uid="{09B0993D-70AC-499E-BC85-1D21235D83B6}" uniqueName="6" name="Sixes" queryTableFieldId="6"/>
    <tableColumn id="7" xr3:uid="{CD247C1F-7FCB-4AE9-8BCD-D9B1EB1622FC}" uniqueName="7" name="Strike_Rate" queryTableFieldId="7"/>
    <tableColumn id="8" xr3:uid="{C818E840-69EC-4059-B2E4-BD493DD9C732}" uniqueName="8" name="Overs_Bowled" queryTableFieldId="8"/>
    <tableColumn id="9" xr3:uid="{7FE88570-C262-43FA-A008-6C499362425E}" uniqueName="9" name="Runs_Conceded" queryTableFieldId="9"/>
    <tableColumn id="10" xr3:uid="{F71BC27E-1BD5-4452-AFD8-1A4E958EF385}" uniqueName="10" name="Wickets" queryTableFieldId="10"/>
    <tableColumn id="11" xr3:uid="{B760D659-7C43-4CB4-BE48-1CEC8045116C}" uniqueName="11" name="Economy" queryTableFieldId="11"/>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0A0E54-6E6F-4C85-9804-993F856E7C44}" name="Table6" displayName="Table6" ref="M202:M203" insertRow="1" totalsRowShown="0">
  <autoFilter ref="M202:M203" xr:uid="{110A0E54-6E6F-4C85-9804-993F856E7C44}"/>
  <tableColumns count="1">
    <tableColumn id="1" xr3:uid="{9F2D914E-FCD2-47A5-BFA6-7189FBED5FBC}"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598367-A62F-43A8-BA22-15B53A26218A}" name="fact_match" displayName="fact_match" ref="A1:N61" tableType="queryTable" totalsRowShown="0">
  <autoFilter ref="A1:N61" xr:uid="{5C598367-A62F-43A8-BA22-15B53A26218A}"/>
  <tableColumns count="14">
    <tableColumn id="1" xr3:uid="{B2C953EB-C6BC-4312-8C74-80006394410E}" uniqueName="1" name="Match_ID" queryTableFieldId="1" dataDxfId="24"/>
    <tableColumn id="2" xr3:uid="{65BE8604-F411-476E-93A7-1E51725A138D}" uniqueName="2" name="Date" queryTableFieldId="2" dataDxfId="23"/>
    <tableColumn id="3" xr3:uid="{83A21C65-1AB2-4ECA-A64E-66A24295988C}" uniqueName="3" name="Venue_ID" queryTableFieldId="3" dataDxfId="22"/>
    <tableColumn id="4" xr3:uid="{8CEDFD35-D12B-4ABA-8A1A-BFED994E64D6}" uniqueName="4" name="Team1_ID" queryTableFieldId="4" dataDxfId="21"/>
    <tableColumn id="5" xr3:uid="{FD299787-425D-40DB-A468-FB1B51B63961}" uniqueName="5" name="Team2_ID" queryTableFieldId="5" dataDxfId="20"/>
    <tableColumn id="6" xr3:uid="{66CDD9F1-96E2-4C09-A8EA-CF8C3858A833}" uniqueName="6" name="Toss_Winner" queryTableFieldId="6" dataDxfId="19"/>
    <tableColumn id="7" xr3:uid="{C0AEE33C-BF5C-40F7-A838-86363A150192}" uniqueName="7" name="Match_Winner" queryTableFieldId="7" dataDxfId="18"/>
    <tableColumn id="8" xr3:uid="{3884C094-D530-49A2-9414-561FD4F09CF9}" uniqueName="8" name="Man_of_Match" queryTableFieldId="8" dataDxfId="17"/>
    <tableColumn id="9" xr3:uid="{E3F9C335-C8F7-41A7-856B-3D1461115B60}" uniqueName="9" name="Team1_Runs" queryTableFieldId="9"/>
    <tableColumn id="10" xr3:uid="{C1DFE8E8-6FE9-465D-B358-E6AECFDEC7F2}" uniqueName="10" name="Team2_Runs" queryTableFieldId="10"/>
    <tableColumn id="11" xr3:uid="{FEB20A39-32F1-46B9-9AF6-55AC45DB2289}" uniqueName="11" name="Team1_Wickets" queryTableFieldId="11"/>
    <tableColumn id="12" xr3:uid="{256EA7BF-D81A-401E-B2C7-ADC69C04C851}" uniqueName="12" name="Team2_Wickets" queryTableFieldId="12"/>
    <tableColumn id="13" xr3:uid="{F3249E63-32B2-4077-8077-7BEE8CA56496}" uniqueName="13" name="Overs_Team1" queryTableFieldId="13"/>
    <tableColumn id="14" xr3:uid="{15778CFC-0ED7-4F33-A395-F374BE48414E}" uniqueName="14" name="Overs_Team2" queryTableFieldId="14"/>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CAC38B-4991-4BB2-86CB-815331165D41}" name="dim_venue" displayName="dim_venue" ref="A1:D11" tableType="queryTable" totalsRowShown="0">
  <autoFilter ref="A1:D11" xr:uid="{DFCAC38B-4991-4BB2-86CB-815331165D41}"/>
  <tableColumns count="4">
    <tableColumn id="1" xr3:uid="{53CD5B7E-CAB2-4132-81CB-012A376B7DFC}" uniqueName="1" name="Venue_ID" queryTableFieldId="1" dataDxfId="16"/>
    <tableColumn id="2" xr3:uid="{FCE4831F-7118-467A-8DFA-BD5162C11031}" uniqueName="2" name="Venue_Name" queryTableFieldId="2" dataDxfId="15"/>
    <tableColumn id="3" xr3:uid="{15BFF7CD-B2B3-4BC2-81F5-01376CF30FC3}" uniqueName="3" name="City" queryTableFieldId="3" dataDxfId="14"/>
    <tableColumn id="4" xr3:uid="{98E110B6-77CB-4D42-92B6-BE77CB5248D3}" uniqueName="4" name="Capacity" queryTableFieldId="4"/>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56C649-C195-4E08-8223-794504A7FBAB}" name="dim_team" displayName="dim_team" ref="A1:G9" tableType="queryTable" totalsRowShown="0">
  <autoFilter ref="A1:G9" xr:uid="{8856C649-C195-4E08-8223-794504A7FBAB}"/>
  <tableColumns count="7">
    <tableColumn id="1" xr3:uid="{38C7E1DE-9CA8-414A-A4E1-BBA6CCD846C9}" uniqueName="1" name="Team_ID" queryTableFieldId="1" dataDxfId="13"/>
    <tableColumn id="2" xr3:uid="{7F08C3AF-CCF7-40C2-B18A-132D5D80C06B}" uniqueName="2" name="Team_Name" queryTableFieldId="2" dataDxfId="12"/>
    <tableColumn id="3" xr3:uid="{229B9663-A2CC-498F-B9BD-A8DB14871CBF}" uniqueName="3" name="Captain" queryTableFieldId="3" dataDxfId="11"/>
    <tableColumn id="4" xr3:uid="{E463DE95-C0CE-4CE9-A074-EB119CAA1C98}" uniqueName="4" name="Coach" queryTableFieldId="4" dataDxfId="10"/>
    <tableColumn id="5" xr3:uid="{180FB1EC-0380-421F-A00F-2F21E7E14EDF}" uniqueName="5" name="Home_Ground" queryTableFieldId="5" dataDxfId="9"/>
    <tableColumn id="6" xr3:uid="{749CEBDC-7080-4AA1-A4F7-258DC9D746C6}" uniqueName="6" name="City" queryTableFieldId="6" dataDxfId="8"/>
    <tableColumn id="7" xr3:uid="{BFDBE081-774F-4A32-BF65-7A8A1E688575}" uniqueName="7" name="Owner" queryTableFieldId="7" dataDxfId="7"/>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753A3B-7669-44E8-9B62-25327B2C84DD}" name="dim_player" displayName="dim_player" ref="A1:H34" tableType="queryTable" totalsRowShown="0">
  <autoFilter ref="A1:H34" xr:uid="{F4753A3B-7669-44E8-9B62-25327B2C84DD}"/>
  <tableColumns count="8">
    <tableColumn id="1" xr3:uid="{712E6C7F-C23C-4B04-A586-0CAEA3AA6DEE}" uniqueName="1" name="Player_ID" queryTableFieldId="1" dataDxfId="6"/>
    <tableColumn id="2" xr3:uid="{DC8BACC9-25E9-4C04-9DBA-2D302D999FCF}" uniqueName="2" name="Player_Name" queryTableFieldId="2" dataDxfId="5"/>
    <tableColumn id="3" xr3:uid="{528AB154-BFE4-4B0F-A0CE-C1E6221BD1CF}" uniqueName="3" name="Team_ID" queryTableFieldId="3" dataDxfId="4"/>
    <tableColumn id="4" xr3:uid="{21720A8B-65EF-4147-8258-A506E7B1B65C}" uniqueName="4" name="Role" queryTableFieldId="4" dataDxfId="3"/>
    <tableColumn id="5" xr3:uid="{32DDDCEB-1100-4543-BDE2-E6D74FC645C3}" uniqueName="5" name="Nationality" queryTableFieldId="5" dataDxfId="2"/>
    <tableColumn id="6" xr3:uid="{24DB0E6C-8D2C-4558-88F3-A57C855EDE3A}" uniqueName="6" name="Age" queryTableFieldId="6"/>
    <tableColumn id="7" xr3:uid="{4CDD9EA7-1CDF-4C7E-A844-439021E5420B}" uniqueName="7" name="Batting_Style" queryTableFieldId="7" dataDxfId="1"/>
    <tableColumn id="8" xr3:uid="{7A569780-D4FB-4631-AEC9-8D5391113DDE}" uniqueName="8" name="Bowling_Style" queryTableFieldId="8"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E9163-C23E-4466-843D-8F30B9A918F6}">
  <dimension ref="A1:M202"/>
  <sheetViews>
    <sheetView workbookViewId="0">
      <selection activeCell="H186" sqref="H186"/>
    </sheetView>
  </sheetViews>
  <sheetFormatPr defaultRowHeight="14.4" x14ac:dyDescent="0.3"/>
  <cols>
    <col min="1" max="1" width="10.88671875" bestFit="1" customWidth="1"/>
    <col min="2" max="2" width="11" bestFit="1" customWidth="1"/>
    <col min="3" max="3" width="7.21875" bestFit="1" customWidth="1"/>
    <col min="4" max="4" width="13.21875" bestFit="1" customWidth="1"/>
    <col min="5" max="5" width="7.77734375" bestFit="1" customWidth="1"/>
    <col min="6" max="6" width="7.6640625" bestFit="1" customWidth="1"/>
    <col min="7" max="7" width="12.77734375" bestFit="1" customWidth="1"/>
    <col min="8" max="8" width="14.88671875" bestFit="1" customWidth="1"/>
    <col min="9" max="9" width="16.5546875" bestFit="1" customWidth="1"/>
    <col min="10" max="10" width="10" bestFit="1" customWidth="1"/>
    <col min="11" max="11" width="10.77734375" bestFit="1" customWidth="1"/>
    <col min="13" max="13" width="10.33203125" customWidth="1"/>
  </cols>
  <sheetData>
    <row r="1" spans="1:11" x14ac:dyDescent="0.3">
      <c r="A1" t="s">
        <v>176</v>
      </c>
      <c r="B1" t="s">
        <v>0</v>
      </c>
      <c r="C1" t="s">
        <v>249</v>
      </c>
      <c r="D1" t="s">
        <v>250</v>
      </c>
      <c r="E1" t="s">
        <v>251</v>
      </c>
      <c r="F1" t="s">
        <v>252</v>
      </c>
      <c r="G1" t="s">
        <v>253</v>
      </c>
      <c r="H1" t="s">
        <v>254</v>
      </c>
      <c r="I1" t="s">
        <v>255</v>
      </c>
      <c r="J1" t="s">
        <v>256</v>
      </c>
      <c r="K1" t="s">
        <v>257</v>
      </c>
    </row>
    <row r="2" spans="1:11" x14ac:dyDescent="0.3">
      <c r="A2" t="s">
        <v>189</v>
      </c>
      <c r="B2" t="s">
        <v>30</v>
      </c>
      <c r="C2">
        <v>58</v>
      </c>
      <c r="D2">
        <v>32</v>
      </c>
      <c r="E2">
        <v>6</v>
      </c>
      <c r="F2">
        <v>3</v>
      </c>
      <c r="G2">
        <v>181.25</v>
      </c>
      <c r="H2">
        <v>0</v>
      </c>
      <c r="I2">
        <v>0</v>
      </c>
      <c r="J2">
        <v>0</v>
      </c>
      <c r="K2">
        <v>0</v>
      </c>
    </row>
    <row r="3" spans="1:11" x14ac:dyDescent="0.3">
      <c r="A3" t="s">
        <v>189</v>
      </c>
      <c r="B3" t="s">
        <v>42</v>
      </c>
      <c r="C3">
        <v>72</v>
      </c>
      <c r="D3">
        <v>50</v>
      </c>
      <c r="E3">
        <v>5</v>
      </c>
      <c r="F3">
        <v>2</v>
      </c>
      <c r="G3">
        <v>144</v>
      </c>
      <c r="H3">
        <v>0</v>
      </c>
      <c r="I3">
        <v>0</v>
      </c>
      <c r="J3">
        <v>0</v>
      </c>
      <c r="K3">
        <v>0</v>
      </c>
    </row>
    <row r="4" spans="1:11" x14ac:dyDescent="0.3">
      <c r="A4" t="s">
        <v>189</v>
      </c>
      <c r="B4" t="s">
        <v>47</v>
      </c>
      <c r="C4">
        <v>0</v>
      </c>
      <c r="D4">
        <v>0</v>
      </c>
      <c r="E4">
        <v>0</v>
      </c>
      <c r="F4">
        <v>0</v>
      </c>
      <c r="G4">
        <v>0</v>
      </c>
      <c r="H4">
        <v>4</v>
      </c>
      <c r="I4">
        <v>28</v>
      </c>
      <c r="J4">
        <v>2</v>
      </c>
      <c r="K4">
        <v>7</v>
      </c>
    </row>
    <row r="5" spans="1:11" x14ac:dyDescent="0.3">
      <c r="A5" t="s">
        <v>190</v>
      </c>
      <c r="B5" t="s">
        <v>103</v>
      </c>
      <c r="C5">
        <v>95</v>
      </c>
      <c r="D5">
        <v>58</v>
      </c>
      <c r="E5">
        <v>10</v>
      </c>
      <c r="F5">
        <v>4</v>
      </c>
      <c r="G5">
        <v>163.79</v>
      </c>
      <c r="H5">
        <v>0</v>
      </c>
      <c r="I5">
        <v>0</v>
      </c>
      <c r="J5">
        <v>0</v>
      </c>
      <c r="K5">
        <v>0</v>
      </c>
    </row>
    <row r="6" spans="1:11" x14ac:dyDescent="0.3">
      <c r="A6" t="s">
        <v>190</v>
      </c>
      <c r="B6" t="s">
        <v>63</v>
      </c>
      <c r="C6">
        <v>45</v>
      </c>
      <c r="D6">
        <v>35</v>
      </c>
      <c r="E6">
        <v>4</v>
      </c>
      <c r="F6">
        <v>1</v>
      </c>
      <c r="G6">
        <v>128.57</v>
      </c>
      <c r="H6">
        <v>0</v>
      </c>
      <c r="I6">
        <v>0</v>
      </c>
      <c r="J6">
        <v>0</v>
      </c>
      <c r="K6">
        <v>0</v>
      </c>
    </row>
    <row r="7" spans="1:11" x14ac:dyDescent="0.3">
      <c r="A7" t="s">
        <v>191</v>
      </c>
      <c r="B7" t="s">
        <v>55</v>
      </c>
      <c r="C7">
        <v>34</v>
      </c>
      <c r="D7">
        <v>18</v>
      </c>
      <c r="E7">
        <v>2</v>
      </c>
      <c r="F7">
        <v>3</v>
      </c>
      <c r="G7">
        <v>188.89</v>
      </c>
      <c r="H7">
        <v>4</v>
      </c>
      <c r="I7">
        <v>38</v>
      </c>
      <c r="J7">
        <v>3</v>
      </c>
      <c r="K7">
        <v>9.5</v>
      </c>
    </row>
    <row r="8" spans="1:11" x14ac:dyDescent="0.3">
      <c r="A8" t="s">
        <v>191</v>
      </c>
      <c r="B8" t="s">
        <v>88</v>
      </c>
      <c r="C8">
        <v>0</v>
      </c>
      <c r="D8">
        <v>0</v>
      </c>
      <c r="E8">
        <v>0</v>
      </c>
      <c r="F8">
        <v>0</v>
      </c>
      <c r="G8">
        <v>0</v>
      </c>
      <c r="H8">
        <v>4</v>
      </c>
      <c r="I8">
        <v>30</v>
      </c>
      <c r="J8">
        <v>2</v>
      </c>
      <c r="K8">
        <v>7.5</v>
      </c>
    </row>
    <row r="9" spans="1:11" x14ac:dyDescent="0.3">
      <c r="A9" t="s">
        <v>192</v>
      </c>
      <c r="B9" t="s">
        <v>74</v>
      </c>
      <c r="C9">
        <v>65</v>
      </c>
      <c r="D9">
        <v>40</v>
      </c>
      <c r="E9">
        <v>7</v>
      </c>
      <c r="F9">
        <v>2</v>
      </c>
      <c r="G9">
        <v>162.5</v>
      </c>
      <c r="H9">
        <v>0</v>
      </c>
      <c r="I9">
        <v>0</v>
      </c>
      <c r="J9">
        <v>0</v>
      </c>
      <c r="K9">
        <v>0</v>
      </c>
    </row>
    <row r="10" spans="1:11" x14ac:dyDescent="0.3">
      <c r="A10" t="s">
        <v>192</v>
      </c>
      <c r="B10" t="s">
        <v>15</v>
      </c>
      <c r="C10">
        <v>0</v>
      </c>
      <c r="D10">
        <v>0</v>
      </c>
      <c r="E10">
        <v>0</v>
      </c>
      <c r="F10">
        <v>0</v>
      </c>
      <c r="G10">
        <v>0</v>
      </c>
      <c r="H10">
        <v>3.2</v>
      </c>
      <c r="I10">
        <v>25</v>
      </c>
      <c r="J10">
        <v>3</v>
      </c>
      <c r="K10">
        <v>7.5</v>
      </c>
    </row>
    <row r="11" spans="1:11" x14ac:dyDescent="0.3">
      <c r="A11" t="s">
        <v>193</v>
      </c>
      <c r="B11" t="s">
        <v>83</v>
      </c>
      <c r="C11">
        <v>88</v>
      </c>
      <c r="D11">
        <v>52</v>
      </c>
      <c r="E11">
        <v>8</v>
      </c>
      <c r="F11">
        <v>3</v>
      </c>
      <c r="G11">
        <v>169.23</v>
      </c>
      <c r="H11">
        <v>0</v>
      </c>
      <c r="I11">
        <v>0</v>
      </c>
      <c r="J11">
        <v>0</v>
      </c>
      <c r="K11">
        <v>0</v>
      </c>
    </row>
    <row r="12" spans="1:11" x14ac:dyDescent="0.3">
      <c r="A12" t="s">
        <v>193</v>
      </c>
      <c r="B12" t="s">
        <v>42</v>
      </c>
      <c r="C12">
        <v>5</v>
      </c>
      <c r="D12">
        <v>7</v>
      </c>
      <c r="E12">
        <v>0</v>
      </c>
      <c r="F12">
        <v>0</v>
      </c>
      <c r="G12">
        <v>71.430000000000007</v>
      </c>
      <c r="H12">
        <v>0</v>
      </c>
      <c r="I12">
        <v>0</v>
      </c>
      <c r="J12">
        <v>0</v>
      </c>
      <c r="K12">
        <v>0</v>
      </c>
    </row>
    <row r="13" spans="1:11" x14ac:dyDescent="0.3">
      <c r="A13" t="s">
        <v>194</v>
      </c>
      <c r="B13" t="s">
        <v>58</v>
      </c>
      <c r="C13">
        <v>18</v>
      </c>
      <c r="D13">
        <v>10</v>
      </c>
      <c r="E13">
        <v>1</v>
      </c>
      <c r="F13">
        <v>1</v>
      </c>
      <c r="G13">
        <v>180</v>
      </c>
      <c r="H13">
        <v>4</v>
      </c>
      <c r="I13">
        <v>22</v>
      </c>
      <c r="J13">
        <v>2</v>
      </c>
      <c r="K13">
        <v>5.5</v>
      </c>
    </row>
    <row r="14" spans="1:11" x14ac:dyDescent="0.3">
      <c r="A14" t="s">
        <v>194</v>
      </c>
      <c r="B14" t="s">
        <v>66</v>
      </c>
      <c r="C14">
        <v>0</v>
      </c>
      <c r="D14">
        <v>0</v>
      </c>
      <c r="E14">
        <v>0</v>
      </c>
      <c r="F14">
        <v>0</v>
      </c>
      <c r="G14">
        <v>0</v>
      </c>
      <c r="H14">
        <v>4</v>
      </c>
      <c r="I14">
        <v>25</v>
      </c>
      <c r="J14">
        <v>1</v>
      </c>
      <c r="K14">
        <v>6.25</v>
      </c>
    </row>
    <row r="15" spans="1:11" x14ac:dyDescent="0.3">
      <c r="A15" t="s">
        <v>195</v>
      </c>
      <c r="B15" t="s">
        <v>33</v>
      </c>
      <c r="C15">
        <v>0</v>
      </c>
      <c r="D15">
        <v>0</v>
      </c>
      <c r="E15">
        <v>0</v>
      </c>
      <c r="F15">
        <v>0</v>
      </c>
      <c r="G15">
        <v>0</v>
      </c>
      <c r="H15">
        <v>4</v>
      </c>
      <c r="I15">
        <v>24</v>
      </c>
      <c r="J15">
        <v>3</v>
      </c>
      <c r="K15">
        <v>6</v>
      </c>
    </row>
    <row r="16" spans="1:11" x14ac:dyDescent="0.3">
      <c r="A16" t="s">
        <v>195</v>
      </c>
      <c r="B16" t="s">
        <v>85</v>
      </c>
      <c r="C16">
        <v>35</v>
      </c>
      <c r="D16">
        <v>25</v>
      </c>
      <c r="E16">
        <v>2</v>
      </c>
      <c r="F16">
        <v>2</v>
      </c>
      <c r="G16">
        <v>140</v>
      </c>
      <c r="H16">
        <v>0</v>
      </c>
      <c r="I16">
        <v>0</v>
      </c>
      <c r="J16">
        <v>0</v>
      </c>
      <c r="K16">
        <v>0</v>
      </c>
    </row>
    <row r="17" spans="1:11" x14ac:dyDescent="0.3">
      <c r="A17" t="s">
        <v>196</v>
      </c>
      <c r="B17" t="s">
        <v>101</v>
      </c>
      <c r="C17">
        <v>56</v>
      </c>
      <c r="D17">
        <v>28</v>
      </c>
      <c r="E17">
        <v>3</v>
      </c>
      <c r="F17">
        <v>5</v>
      </c>
      <c r="G17">
        <v>200</v>
      </c>
      <c r="H17">
        <v>0</v>
      </c>
      <c r="I17">
        <v>0</v>
      </c>
      <c r="J17">
        <v>0</v>
      </c>
      <c r="K17">
        <v>0</v>
      </c>
    </row>
    <row r="18" spans="1:11" x14ac:dyDescent="0.3">
      <c r="A18" t="s">
        <v>196</v>
      </c>
      <c r="B18" t="s">
        <v>24</v>
      </c>
      <c r="C18">
        <v>22</v>
      </c>
      <c r="D18">
        <v>19</v>
      </c>
      <c r="E18">
        <v>1</v>
      </c>
      <c r="F18">
        <v>0</v>
      </c>
      <c r="G18">
        <v>115.79</v>
      </c>
      <c r="H18">
        <v>0</v>
      </c>
      <c r="I18">
        <v>0</v>
      </c>
      <c r="J18">
        <v>0</v>
      </c>
      <c r="K18">
        <v>0</v>
      </c>
    </row>
    <row r="19" spans="1:11" x14ac:dyDescent="0.3">
      <c r="A19" t="s">
        <v>197</v>
      </c>
      <c r="B19" t="s">
        <v>60</v>
      </c>
      <c r="C19">
        <v>0</v>
      </c>
      <c r="D19">
        <v>0</v>
      </c>
      <c r="E19">
        <v>0</v>
      </c>
      <c r="F19">
        <v>0</v>
      </c>
      <c r="G19">
        <v>0</v>
      </c>
      <c r="H19">
        <v>3.3</v>
      </c>
      <c r="I19">
        <v>19</v>
      </c>
      <c r="J19">
        <v>4</v>
      </c>
      <c r="K19">
        <v>5.43</v>
      </c>
    </row>
    <row r="20" spans="1:11" x14ac:dyDescent="0.3">
      <c r="A20" t="s">
        <v>197</v>
      </c>
      <c r="B20" t="s">
        <v>42</v>
      </c>
      <c r="C20">
        <v>40</v>
      </c>
      <c r="D20">
        <v>30</v>
      </c>
      <c r="E20">
        <v>3</v>
      </c>
      <c r="F20">
        <v>1</v>
      </c>
      <c r="G20">
        <v>133.33000000000001</v>
      </c>
      <c r="H20">
        <v>0</v>
      </c>
      <c r="I20">
        <v>0</v>
      </c>
      <c r="J20">
        <v>0</v>
      </c>
      <c r="K20">
        <v>0</v>
      </c>
    </row>
    <row r="21" spans="1:11" x14ac:dyDescent="0.3">
      <c r="A21" t="s">
        <v>198</v>
      </c>
      <c r="B21" t="s">
        <v>66</v>
      </c>
      <c r="C21">
        <v>0</v>
      </c>
      <c r="D21">
        <v>0</v>
      </c>
      <c r="E21">
        <v>0</v>
      </c>
      <c r="F21">
        <v>0</v>
      </c>
      <c r="G21">
        <v>0</v>
      </c>
      <c r="H21">
        <v>4</v>
      </c>
      <c r="I21">
        <v>17</v>
      </c>
      <c r="J21">
        <v>2</v>
      </c>
      <c r="K21">
        <v>4.25</v>
      </c>
    </row>
    <row r="22" spans="1:11" x14ac:dyDescent="0.3">
      <c r="A22" t="s">
        <v>198</v>
      </c>
      <c r="B22" t="s">
        <v>83</v>
      </c>
      <c r="C22">
        <v>12</v>
      </c>
      <c r="D22">
        <v>14</v>
      </c>
      <c r="E22">
        <v>1</v>
      </c>
      <c r="F22">
        <v>0</v>
      </c>
      <c r="G22">
        <v>85.71</v>
      </c>
      <c r="H22">
        <v>0</v>
      </c>
      <c r="I22">
        <v>0</v>
      </c>
      <c r="J22">
        <v>0</v>
      </c>
      <c r="K22">
        <v>0</v>
      </c>
    </row>
    <row r="23" spans="1:11" x14ac:dyDescent="0.3">
      <c r="A23" t="s">
        <v>199</v>
      </c>
      <c r="B23" t="s">
        <v>85</v>
      </c>
      <c r="C23">
        <v>75</v>
      </c>
      <c r="D23">
        <v>45</v>
      </c>
      <c r="E23">
        <v>5</v>
      </c>
      <c r="F23">
        <v>4</v>
      </c>
      <c r="G23">
        <v>166.67</v>
      </c>
      <c r="H23">
        <v>0</v>
      </c>
      <c r="I23">
        <v>0</v>
      </c>
      <c r="J23">
        <v>0</v>
      </c>
      <c r="K23">
        <v>0</v>
      </c>
    </row>
    <row r="24" spans="1:11" x14ac:dyDescent="0.3">
      <c r="A24" t="s">
        <v>199</v>
      </c>
      <c r="B24" t="s">
        <v>27</v>
      </c>
      <c r="C24">
        <v>25</v>
      </c>
      <c r="D24">
        <v>18</v>
      </c>
      <c r="E24">
        <v>1</v>
      </c>
      <c r="F24">
        <v>1</v>
      </c>
      <c r="G24">
        <v>138.88999999999999</v>
      </c>
      <c r="H24">
        <v>4</v>
      </c>
      <c r="I24">
        <v>35</v>
      </c>
      <c r="J24">
        <v>1</v>
      </c>
      <c r="K24">
        <v>8.75</v>
      </c>
    </row>
    <row r="25" spans="1:11" x14ac:dyDescent="0.3">
      <c r="A25" t="s">
        <v>200</v>
      </c>
      <c r="B25" t="s">
        <v>36</v>
      </c>
      <c r="C25">
        <v>48</v>
      </c>
      <c r="D25">
        <v>32</v>
      </c>
      <c r="E25">
        <v>4</v>
      </c>
      <c r="F25">
        <v>1</v>
      </c>
      <c r="G25">
        <v>150</v>
      </c>
      <c r="H25">
        <v>0</v>
      </c>
      <c r="I25">
        <v>0</v>
      </c>
      <c r="J25">
        <v>0</v>
      </c>
      <c r="K25">
        <v>0</v>
      </c>
    </row>
    <row r="26" spans="1:11" x14ac:dyDescent="0.3">
      <c r="A26" t="s">
        <v>200</v>
      </c>
      <c r="B26" t="s">
        <v>99</v>
      </c>
      <c r="C26">
        <v>0</v>
      </c>
      <c r="D26">
        <v>0</v>
      </c>
      <c r="E26">
        <v>0</v>
      </c>
      <c r="F26">
        <v>0</v>
      </c>
      <c r="G26">
        <v>0</v>
      </c>
      <c r="H26">
        <v>4</v>
      </c>
      <c r="I26">
        <v>30</v>
      </c>
      <c r="J26">
        <v>2</v>
      </c>
      <c r="K26">
        <v>7.5</v>
      </c>
    </row>
    <row r="27" spans="1:11" x14ac:dyDescent="0.3">
      <c r="A27" t="s">
        <v>201</v>
      </c>
      <c r="B27" t="s">
        <v>42</v>
      </c>
      <c r="C27">
        <v>105</v>
      </c>
      <c r="D27">
        <v>60</v>
      </c>
      <c r="E27">
        <v>12</v>
      </c>
      <c r="F27">
        <v>3</v>
      </c>
      <c r="G27">
        <v>175</v>
      </c>
      <c r="H27">
        <v>0</v>
      </c>
      <c r="I27">
        <v>0</v>
      </c>
      <c r="J27">
        <v>0</v>
      </c>
      <c r="K27">
        <v>0</v>
      </c>
    </row>
    <row r="28" spans="1:11" x14ac:dyDescent="0.3">
      <c r="A28" t="s">
        <v>201</v>
      </c>
      <c r="B28" t="s">
        <v>69</v>
      </c>
      <c r="C28">
        <v>0</v>
      </c>
      <c r="D28">
        <v>0</v>
      </c>
      <c r="E28">
        <v>0</v>
      </c>
      <c r="F28">
        <v>0</v>
      </c>
      <c r="G28">
        <v>0</v>
      </c>
      <c r="H28">
        <v>4</v>
      </c>
      <c r="I28">
        <v>40</v>
      </c>
      <c r="J28">
        <v>1</v>
      </c>
      <c r="K28">
        <v>10</v>
      </c>
    </row>
    <row r="29" spans="1:11" x14ac:dyDescent="0.3">
      <c r="A29" t="s">
        <v>202</v>
      </c>
      <c r="B29" t="s">
        <v>8</v>
      </c>
      <c r="C29">
        <v>88</v>
      </c>
      <c r="D29">
        <v>48</v>
      </c>
      <c r="E29">
        <v>9</v>
      </c>
      <c r="F29">
        <v>4</v>
      </c>
      <c r="G29">
        <v>183.33</v>
      </c>
      <c r="H29">
        <v>0</v>
      </c>
      <c r="I29">
        <v>0</v>
      </c>
      <c r="J29">
        <v>0</v>
      </c>
      <c r="K29">
        <v>0</v>
      </c>
    </row>
    <row r="30" spans="1:11" x14ac:dyDescent="0.3">
      <c r="A30" t="s">
        <v>202</v>
      </c>
      <c r="B30" t="s">
        <v>78</v>
      </c>
      <c r="C30">
        <v>0</v>
      </c>
      <c r="D30">
        <v>0</v>
      </c>
      <c r="E30">
        <v>0</v>
      </c>
      <c r="F30">
        <v>0</v>
      </c>
      <c r="G30">
        <v>0</v>
      </c>
      <c r="H30">
        <v>4</v>
      </c>
      <c r="I30">
        <v>30</v>
      </c>
      <c r="J30">
        <v>1</v>
      </c>
      <c r="K30">
        <v>7.5</v>
      </c>
    </row>
    <row r="31" spans="1:11" x14ac:dyDescent="0.3">
      <c r="A31" t="s">
        <v>203</v>
      </c>
      <c r="B31" t="s">
        <v>96</v>
      </c>
      <c r="C31">
        <v>65</v>
      </c>
      <c r="D31">
        <v>40</v>
      </c>
      <c r="E31">
        <v>6</v>
      </c>
      <c r="F31">
        <v>2</v>
      </c>
      <c r="G31">
        <v>162.5</v>
      </c>
      <c r="H31">
        <v>0</v>
      </c>
      <c r="I31">
        <v>0</v>
      </c>
      <c r="J31">
        <v>0</v>
      </c>
      <c r="K31">
        <v>0</v>
      </c>
    </row>
    <row r="32" spans="1:11" x14ac:dyDescent="0.3">
      <c r="A32" t="s">
        <v>203</v>
      </c>
      <c r="B32" t="s">
        <v>52</v>
      </c>
      <c r="C32">
        <v>10</v>
      </c>
      <c r="D32">
        <v>8</v>
      </c>
      <c r="E32">
        <v>0</v>
      </c>
      <c r="F32">
        <v>1</v>
      </c>
      <c r="G32">
        <v>125</v>
      </c>
      <c r="H32">
        <v>0</v>
      </c>
      <c r="I32">
        <v>0</v>
      </c>
      <c r="J32">
        <v>0</v>
      </c>
      <c r="K32">
        <v>0</v>
      </c>
    </row>
    <row r="33" spans="1:11" x14ac:dyDescent="0.3">
      <c r="A33" t="s">
        <v>204</v>
      </c>
      <c r="B33" t="s">
        <v>88</v>
      </c>
      <c r="C33">
        <v>0</v>
      </c>
      <c r="D33">
        <v>0</v>
      </c>
      <c r="E33">
        <v>0</v>
      </c>
      <c r="F33">
        <v>0</v>
      </c>
      <c r="G33">
        <v>0</v>
      </c>
      <c r="H33">
        <v>4</v>
      </c>
      <c r="I33">
        <v>22</v>
      </c>
      <c r="J33">
        <v>3</v>
      </c>
      <c r="K33">
        <v>5.5</v>
      </c>
    </row>
    <row r="34" spans="1:11" x14ac:dyDescent="0.3">
      <c r="A34" t="s">
        <v>204</v>
      </c>
      <c r="B34" t="s">
        <v>63</v>
      </c>
      <c r="C34">
        <v>40</v>
      </c>
      <c r="D34">
        <v>30</v>
      </c>
      <c r="E34">
        <v>4</v>
      </c>
      <c r="F34">
        <v>1</v>
      </c>
      <c r="G34">
        <v>133.33000000000001</v>
      </c>
      <c r="H34">
        <v>0</v>
      </c>
      <c r="I34">
        <v>0</v>
      </c>
      <c r="J34">
        <v>0</v>
      </c>
      <c r="K34">
        <v>0</v>
      </c>
    </row>
    <row r="35" spans="1:11" x14ac:dyDescent="0.3">
      <c r="A35" t="s">
        <v>205</v>
      </c>
      <c r="B35" t="s">
        <v>30</v>
      </c>
      <c r="C35">
        <v>55</v>
      </c>
      <c r="D35">
        <v>30</v>
      </c>
      <c r="E35">
        <v>5</v>
      </c>
      <c r="F35">
        <v>3</v>
      </c>
      <c r="G35">
        <v>183.33</v>
      </c>
      <c r="H35">
        <v>0</v>
      </c>
      <c r="I35">
        <v>0</v>
      </c>
      <c r="J35">
        <v>0</v>
      </c>
      <c r="K35">
        <v>0</v>
      </c>
    </row>
    <row r="36" spans="1:11" x14ac:dyDescent="0.3">
      <c r="A36" t="s">
        <v>205</v>
      </c>
      <c r="B36" t="s">
        <v>15</v>
      </c>
      <c r="C36">
        <v>0</v>
      </c>
      <c r="D36">
        <v>0</v>
      </c>
      <c r="E36">
        <v>0</v>
      </c>
      <c r="F36">
        <v>0</v>
      </c>
      <c r="G36">
        <v>0</v>
      </c>
      <c r="H36">
        <v>4</v>
      </c>
      <c r="I36">
        <v>32</v>
      </c>
      <c r="J36">
        <v>1</v>
      </c>
      <c r="K36">
        <v>8</v>
      </c>
    </row>
    <row r="37" spans="1:11" x14ac:dyDescent="0.3">
      <c r="A37" t="s">
        <v>206</v>
      </c>
      <c r="B37" t="s">
        <v>47</v>
      </c>
      <c r="C37">
        <v>68</v>
      </c>
      <c r="D37">
        <v>40</v>
      </c>
      <c r="E37">
        <v>6</v>
      </c>
      <c r="F37">
        <v>3</v>
      </c>
      <c r="G37">
        <v>170</v>
      </c>
      <c r="H37">
        <v>0</v>
      </c>
      <c r="I37">
        <v>0</v>
      </c>
      <c r="J37">
        <v>0</v>
      </c>
      <c r="K37">
        <v>0</v>
      </c>
    </row>
    <row r="38" spans="1:11" x14ac:dyDescent="0.3">
      <c r="A38" t="s">
        <v>206</v>
      </c>
      <c r="B38" t="s">
        <v>99</v>
      </c>
      <c r="C38">
        <v>0</v>
      </c>
      <c r="D38">
        <v>0</v>
      </c>
      <c r="E38">
        <v>0</v>
      </c>
      <c r="F38">
        <v>0</v>
      </c>
      <c r="G38">
        <v>0</v>
      </c>
      <c r="H38">
        <v>4</v>
      </c>
      <c r="I38">
        <v>42</v>
      </c>
      <c r="J38">
        <v>1</v>
      </c>
      <c r="K38">
        <v>10.5</v>
      </c>
    </row>
    <row r="39" spans="1:11" x14ac:dyDescent="0.3">
      <c r="A39" t="s">
        <v>207</v>
      </c>
      <c r="B39" t="s">
        <v>78</v>
      </c>
      <c r="C39">
        <v>0</v>
      </c>
      <c r="D39">
        <v>0</v>
      </c>
      <c r="E39">
        <v>0</v>
      </c>
      <c r="F39">
        <v>0</v>
      </c>
      <c r="G39">
        <v>0</v>
      </c>
      <c r="H39">
        <v>4</v>
      </c>
      <c r="I39">
        <v>20</v>
      </c>
      <c r="J39">
        <v>3</v>
      </c>
      <c r="K39">
        <v>5</v>
      </c>
    </row>
    <row r="40" spans="1:11" x14ac:dyDescent="0.3">
      <c r="A40" t="s">
        <v>207</v>
      </c>
      <c r="B40" t="s">
        <v>55</v>
      </c>
      <c r="C40">
        <v>25</v>
      </c>
      <c r="D40">
        <v>15</v>
      </c>
      <c r="E40">
        <v>2</v>
      </c>
      <c r="F40">
        <v>2</v>
      </c>
      <c r="G40">
        <v>166.67</v>
      </c>
      <c r="H40">
        <v>0</v>
      </c>
      <c r="I40">
        <v>0</v>
      </c>
      <c r="J40">
        <v>0</v>
      </c>
      <c r="K40">
        <v>0</v>
      </c>
    </row>
    <row r="41" spans="1:11" x14ac:dyDescent="0.3">
      <c r="A41" t="s">
        <v>208</v>
      </c>
      <c r="B41" t="s">
        <v>69</v>
      </c>
      <c r="C41">
        <v>50</v>
      </c>
      <c r="D41">
        <v>30</v>
      </c>
      <c r="E41">
        <v>4</v>
      </c>
      <c r="F41">
        <v>3</v>
      </c>
      <c r="G41">
        <v>166.67</v>
      </c>
      <c r="H41">
        <v>0</v>
      </c>
      <c r="I41">
        <v>0</v>
      </c>
      <c r="J41">
        <v>0</v>
      </c>
      <c r="K41">
        <v>0</v>
      </c>
    </row>
    <row r="42" spans="1:11" x14ac:dyDescent="0.3">
      <c r="A42" t="s">
        <v>208</v>
      </c>
      <c r="B42" t="s">
        <v>93</v>
      </c>
      <c r="C42">
        <v>0</v>
      </c>
      <c r="D42">
        <v>0</v>
      </c>
      <c r="E42">
        <v>0</v>
      </c>
      <c r="F42">
        <v>0</v>
      </c>
      <c r="G42">
        <v>0</v>
      </c>
      <c r="H42">
        <v>4</v>
      </c>
      <c r="I42">
        <v>40</v>
      </c>
      <c r="J42">
        <v>0</v>
      </c>
      <c r="K42">
        <v>10</v>
      </c>
    </row>
    <row r="43" spans="1:11" x14ac:dyDescent="0.3">
      <c r="A43" t="s">
        <v>209</v>
      </c>
      <c r="B43" t="s">
        <v>15</v>
      </c>
      <c r="C43">
        <v>0</v>
      </c>
      <c r="D43">
        <v>0</v>
      </c>
      <c r="E43">
        <v>0</v>
      </c>
      <c r="F43">
        <v>0</v>
      </c>
      <c r="G43">
        <v>0</v>
      </c>
      <c r="H43">
        <v>4</v>
      </c>
      <c r="I43">
        <v>26</v>
      </c>
      <c r="J43">
        <v>3</v>
      </c>
      <c r="K43">
        <v>6.5</v>
      </c>
    </row>
    <row r="44" spans="1:11" x14ac:dyDescent="0.3">
      <c r="A44" t="s">
        <v>209</v>
      </c>
      <c r="B44" t="s">
        <v>52</v>
      </c>
      <c r="C44">
        <v>35</v>
      </c>
      <c r="D44">
        <v>28</v>
      </c>
      <c r="E44">
        <v>3</v>
      </c>
      <c r="F44">
        <v>1</v>
      </c>
      <c r="G44">
        <v>125</v>
      </c>
      <c r="H44">
        <v>0</v>
      </c>
      <c r="I44">
        <v>0</v>
      </c>
      <c r="J44">
        <v>0</v>
      </c>
      <c r="K44">
        <v>0</v>
      </c>
    </row>
    <row r="45" spans="1:11" x14ac:dyDescent="0.3">
      <c r="A45" t="s">
        <v>210</v>
      </c>
      <c r="B45" t="s">
        <v>99</v>
      </c>
      <c r="C45">
        <v>0</v>
      </c>
      <c r="D45">
        <v>0</v>
      </c>
      <c r="E45">
        <v>0</v>
      </c>
      <c r="F45">
        <v>0</v>
      </c>
      <c r="G45">
        <v>0</v>
      </c>
      <c r="H45">
        <v>4</v>
      </c>
      <c r="I45">
        <v>23</v>
      </c>
      <c r="J45">
        <v>2</v>
      </c>
      <c r="K45">
        <v>5.75</v>
      </c>
    </row>
    <row r="46" spans="1:11" x14ac:dyDescent="0.3">
      <c r="A46" t="s">
        <v>210</v>
      </c>
      <c r="B46" t="s">
        <v>80</v>
      </c>
      <c r="C46">
        <v>0</v>
      </c>
      <c r="D46">
        <v>0</v>
      </c>
      <c r="E46">
        <v>0</v>
      </c>
      <c r="F46">
        <v>0</v>
      </c>
      <c r="G46">
        <v>0</v>
      </c>
      <c r="H46">
        <v>4</v>
      </c>
      <c r="I46">
        <v>34</v>
      </c>
      <c r="J46">
        <v>1</v>
      </c>
      <c r="K46">
        <v>8.5</v>
      </c>
    </row>
    <row r="47" spans="1:11" x14ac:dyDescent="0.3">
      <c r="A47" t="s">
        <v>211</v>
      </c>
      <c r="B47" t="s">
        <v>42</v>
      </c>
      <c r="C47">
        <v>80</v>
      </c>
      <c r="D47">
        <v>55</v>
      </c>
      <c r="E47">
        <v>7</v>
      </c>
      <c r="F47">
        <v>2</v>
      </c>
      <c r="G47">
        <v>145.44999999999999</v>
      </c>
      <c r="H47">
        <v>0</v>
      </c>
      <c r="I47">
        <v>0</v>
      </c>
      <c r="J47">
        <v>0</v>
      </c>
      <c r="K47">
        <v>0</v>
      </c>
    </row>
    <row r="48" spans="1:11" x14ac:dyDescent="0.3">
      <c r="A48" t="s">
        <v>211</v>
      </c>
      <c r="B48" t="s">
        <v>36</v>
      </c>
      <c r="C48">
        <v>30</v>
      </c>
      <c r="D48">
        <v>22</v>
      </c>
      <c r="E48">
        <v>3</v>
      </c>
      <c r="F48">
        <v>0</v>
      </c>
      <c r="G48">
        <v>136.36000000000001</v>
      </c>
      <c r="H48">
        <v>0</v>
      </c>
      <c r="I48">
        <v>0</v>
      </c>
      <c r="J48">
        <v>0</v>
      </c>
      <c r="K48">
        <v>0</v>
      </c>
    </row>
    <row r="49" spans="1:11" x14ac:dyDescent="0.3">
      <c r="A49" t="s">
        <v>212</v>
      </c>
      <c r="B49" t="s">
        <v>19</v>
      </c>
      <c r="C49">
        <v>78</v>
      </c>
      <c r="D49">
        <v>45</v>
      </c>
      <c r="E49">
        <v>8</v>
      </c>
      <c r="F49">
        <v>3</v>
      </c>
      <c r="G49">
        <v>173.33</v>
      </c>
      <c r="H49">
        <v>0</v>
      </c>
      <c r="I49">
        <v>0</v>
      </c>
      <c r="J49">
        <v>0</v>
      </c>
      <c r="K49">
        <v>0</v>
      </c>
    </row>
    <row r="50" spans="1:11" x14ac:dyDescent="0.3">
      <c r="A50" t="s">
        <v>212</v>
      </c>
      <c r="B50" t="s">
        <v>71</v>
      </c>
      <c r="C50">
        <v>0</v>
      </c>
      <c r="D50">
        <v>0</v>
      </c>
      <c r="E50">
        <v>0</v>
      </c>
      <c r="F50">
        <v>0</v>
      </c>
      <c r="G50">
        <v>0</v>
      </c>
      <c r="H50">
        <v>4</v>
      </c>
      <c r="I50">
        <v>28</v>
      </c>
      <c r="J50">
        <v>1</v>
      </c>
      <c r="K50">
        <v>7</v>
      </c>
    </row>
    <row r="51" spans="1:11" x14ac:dyDescent="0.3">
      <c r="A51" t="s">
        <v>213</v>
      </c>
      <c r="B51" t="s">
        <v>103</v>
      </c>
      <c r="C51">
        <v>90</v>
      </c>
      <c r="D51">
        <v>50</v>
      </c>
      <c r="E51">
        <v>11</v>
      </c>
      <c r="F51">
        <v>3</v>
      </c>
      <c r="G51">
        <v>180</v>
      </c>
      <c r="H51">
        <v>0</v>
      </c>
      <c r="I51">
        <v>0</v>
      </c>
      <c r="J51">
        <v>0</v>
      </c>
      <c r="K51">
        <v>0</v>
      </c>
    </row>
    <row r="52" spans="1:11" x14ac:dyDescent="0.3">
      <c r="A52" t="s">
        <v>213</v>
      </c>
      <c r="B52" t="s">
        <v>85</v>
      </c>
      <c r="C52">
        <v>50</v>
      </c>
      <c r="D52">
        <v>35</v>
      </c>
      <c r="E52">
        <v>4</v>
      </c>
      <c r="F52">
        <v>2</v>
      </c>
      <c r="G52">
        <v>142.86000000000001</v>
      </c>
      <c r="H52">
        <v>0</v>
      </c>
      <c r="I52">
        <v>0</v>
      </c>
      <c r="J52">
        <v>0</v>
      </c>
      <c r="K52">
        <v>0</v>
      </c>
    </row>
    <row r="53" spans="1:11" x14ac:dyDescent="0.3">
      <c r="A53" t="s">
        <v>214</v>
      </c>
      <c r="B53" t="s">
        <v>39</v>
      </c>
      <c r="C53">
        <v>0</v>
      </c>
      <c r="D53">
        <v>0</v>
      </c>
      <c r="E53">
        <v>0</v>
      </c>
      <c r="F53">
        <v>0</v>
      </c>
      <c r="G53">
        <v>0</v>
      </c>
      <c r="H53">
        <v>4</v>
      </c>
      <c r="I53">
        <v>21</v>
      </c>
      <c r="J53">
        <v>3</v>
      </c>
      <c r="K53">
        <v>5.25</v>
      </c>
    </row>
    <row r="54" spans="1:11" x14ac:dyDescent="0.3">
      <c r="A54" t="s">
        <v>214</v>
      </c>
      <c r="B54" t="s">
        <v>58</v>
      </c>
      <c r="C54">
        <v>15</v>
      </c>
      <c r="D54">
        <v>10</v>
      </c>
      <c r="E54">
        <v>1</v>
      </c>
      <c r="F54">
        <v>1</v>
      </c>
      <c r="G54">
        <v>150</v>
      </c>
      <c r="H54">
        <v>4</v>
      </c>
      <c r="I54">
        <v>25</v>
      </c>
      <c r="J54">
        <v>1</v>
      </c>
      <c r="K54">
        <v>6.25</v>
      </c>
    </row>
    <row r="55" spans="1:11" x14ac:dyDescent="0.3">
      <c r="A55" t="s">
        <v>215</v>
      </c>
      <c r="B55" t="s">
        <v>74</v>
      </c>
      <c r="C55">
        <v>102</v>
      </c>
      <c r="D55">
        <v>59</v>
      </c>
      <c r="E55">
        <v>10</v>
      </c>
      <c r="F55">
        <v>4</v>
      </c>
      <c r="G55">
        <v>172.88</v>
      </c>
      <c r="H55">
        <v>0</v>
      </c>
      <c r="I55">
        <v>0</v>
      </c>
      <c r="J55">
        <v>0</v>
      </c>
      <c r="K55">
        <v>0</v>
      </c>
    </row>
    <row r="56" spans="1:11" x14ac:dyDescent="0.3">
      <c r="A56" t="s">
        <v>215</v>
      </c>
      <c r="B56" t="s">
        <v>47</v>
      </c>
      <c r="C56">
        <v>33</v>
      </c>
      <c r="D56">
        <v>20</v>
      </c>
      <c r="E56">
        <v>3</v>
      </c>
      <c r="F56">
        <v>2</v>
      </c>
      <c r="G56">
        <v>165</v>
      </c>
      <c r="H56">
        <v>0</v>
      </c>
      <c r="I56">
        <v>0</v>
      </c>
      <c r="J56">
        <v>0</v>
      </c>
      <c r="K56">
        <v>0</v>
      </c>
    </row>
    <row r="57" spans="1:11" x14ac:dyDescent="0.3">
      <c r="A57" t="s">
        <v>216</v>
      </c>
      <c r="B57" t="s">
        <v>24</v>
      </c>
      <c r="C57">
        <v>60</v>
      </c>
      <c r="D57">
        <v>35</v>
      </c>
      <c r="E57">
        <v>5</v>
      </c>
      <c r="F57">
        <v>3</v>
      </c>
      <c r="G57">
        <v>171.43</v>
      </c>
      <c r="H57">
        <v>0</v>
      </c>
      <c r="I57">
        <v>0</v>
      </c>
      <c r="J57">
        <v>0</v>
      </c>
      <c r="K57">
        <v>0</v>
      </c>
    </row>
    <row r="58" spans="1:11" x14ac:dyDescent="0.3">
      <c r="A58" t="s">
        <v>216</v>
      </c>
      <c r="B58" t="s">
        <v>63</v>
      </c>
      <c r="C58">
        <v>25</v>
      </c>
      <c r="D58">
        <v>20</v>
      </c>
      <c r="E58">
        <v>2</v>
      </c>
      <c r="F58">
        <v>0</v>
      </c>
      <c r="G58">
        <v>125</v>
      </c>
      <c r="H58">
        <v>0</v>
      </c>
      <c r="I58">
        <v>0</v>
      </c>
      <c r="J58">
        <v>0</v>
      </c>
      <c r="K58">
        <v>0</v>
      </c>
    </row>
    <row r="59" spans="1:11" x14ac:dyDescent="0.3">
      <c r="A59" t="s">
        <v>217</v>
      </c>
      <c r="B59" t="s">
        <v>91</v>
      </c>
      <c r="C59">
        <v>70</v>
      </c>
      <c r="D59">
        <v>42</v>
      </c>
      <c r="E59">
        <v>8</v>
      </c>
      <c r="F59">
        <v>2</v>
      </c>
      <c r="G59">
        <v>166.67</v>
      </c>
      <c r="H59">
        <v>0</v>
      </c>
      <c r="I59">
        <v>0</v>
      </c>
      <c r="J59">
        <v>0</v>
      </c>
      <c r="K59">
        <v>0</v>
      </c>
    </row>
    <row r="60" spans="1:11" x14ac:dyDescent="0.3">
      <c r="A60" t="s">
        <v>217</v>
      </c>
      <c r="B60" t="s">
        <v>96</v>
      </c>
      <c r="C60">
        <v>20</v>
      </c>
      <c r="D60">
        <v>15</v>
      </c>
      <c r="E60">
        <v>1</v>
      </c>
      <c r="F60">
        <v>1</v>
      </c>
      <c r="G60">
        <v>133.33000000000001</v>
      </c>
      <c r="H60">
        <v>0</v>
      </c>
      <c r="I60">
        <v>0</v>
      </c>
      <c r="J60">
        <v>0</v>
      </c>
      <c r="K60">
        <v>0</v>
      </c>
    </row>
    <row r="61" spans="1:11" x14ac:dyDescent="0.3">
      <c r="A61" t="s">
        <v>218</v>
      </c>
      <c r="B61" t="s">
        <v>52</v>
      </c>
      <c r="C61">
        <v>85</v>
      </c>
      <c r="D61">
        <v>45</v>
      </c>
      <c r="E61">
        <v>7</v>
      </c>
      <c r="F61">
        <v>4</v>
      </c>
      <c r="G61">
        <v>188.89</v>
      </c>
      <c r="H61">
        <v>0</v>
      </c>
      <c r="I61">
        <v>0</v>
      </c>
      <c r="J61">
        <v>0</v>
      </c>
      <c r="K61">
        <v>0</v>
      </c>
    </row>
    <row r="62" spans="1:11" x14ac:dyDescent="0.3">
      <c r="A62" t="s">
        <v>218</v>
      </c>
      <c r="B62" t="s">
        <v>33</v>
      </c>
      <c r="C62">
        <v>0</v>
      </c>
      <c r="D62">
        <v>0</v>
      </c>
      <c r="E62">
        <v>0</v>
      </c>
      <c r="F62">
        <v>0</v>
      </c>
      <c r="G62">
        <v>0</v>
      </c>
      <c r="H62">
        <v>4</v>
      </c>
      <c r="I62">
        <v>35</v>
      </c>
      <c r="J62">
        <v>2</v>
      </c>
      <c r="K62">
        <v>8.75</v>
      </c>
    </row>
    <row r="63" spans="1:11" x14ac:dyDescent="0.3">
      <c r="A63" t="s">
        <v>219</v>
      </c>
      <c r="B63" t="s">
        <v>50</v>
      </c>
      <c r="C63">
        <v>42</v>
      </c>
      <c r="D63">
        <v>21</v>
      </c>
      <c r="E63">
        <v>3</v>
      </c>
      <c r="F63">
        <v>3</v>
      </c>
      <c r="G63">
        <v>200</v>
      </c>
      <c r="H63">
        <v>0</v>
      </c>
      <c r="I63">
        <v>0</v>
      </c>
      <c r="J63">
        <v>0</v>
      </c>
      <c r="K63">
        <v>0</v>
      </c>
    </row>
    <row r="64" spans="1:11" x14ac:dyDescent="0.3">
      <c r="A64" t="s">
        <v>219</v>
      </c>
      <c r="B64" t="s">
        <v>8</v>
      </c>
      <c r="C64">
        <v>65</v>
      </c>
      <c r="D64">
        <v>40</v>
      </c>
      <c r="E64">
        <v>6</v>
      </c>
      <c r="F64">
        <v>2</v>
      </c>
      <c r="G64">
        <v>162.5</v>
      </c>
      <c r="H64">
        <v>0</v>
      </c>
      <c r="I64">
        <v>0</v>
      </c>
      <c r="J64">
        <v>0</v>
      </c>
      <c r="K64">
        <v>0</v>
      </c>
    </row>
    <row r="65" spans="1:11" x14ac:dyDescent="0.3">
      <c r="A65" t="s">
        <v>220</v>
      </c>
      <c r="B65" t="s">
        <v>71</v>
      </c>
      <c r="C65">
        <v>0</v>
      </c>
      <c r="D65">
        <v>0</v>
      </c>
      <c r="E65">
        <v>0</v>
      </c>
      <c r="F65">
        <v>0</v>
      </c>
      <c r="G65">
        <v>0</v>
      </c>
      <c r="H65">
        <v>4</v>
      </c>
      <c r="I65">
        <v>25</v>
      </c>
      <c r="J65">
        <v>2</v>
      </c>
      <c r="K65">
        <v>6.25</v>
      </c>
    </row>
    <row r="66" spans="1:11" x14ac:dyDescent="0.3">
      <c r="A66" t="s">
        <v>220</v>
      </c>
      <c r="B66" t="s">
        <v>78</v>
      </c>
      <c r="C66">
        <v>0</v>
      </c>
      <c r="D66">
        <v>0</v>
      </c>
      <c r="E66">
        <v>0</v>
      </c>
      <c r="F66">
        <v>0</v>
      </c>
      <c r="G66">
        <v>0</v>
      </c>
      <c r="H66">
        <v>4</v>
      </c>
      <c r="I66">
        <v>30</v>
      </c>
      <c r="J66">
        <v>1</v>
      </c>
      <c r="K66">
        <v>7.5</v>
      </c>
    </row>
    <row r="67" spans="1:11" x14ac:dyDescent="0.3">
      <c r="A67" t="s">
        <v>221</v>
      </c>
      <c r="B67" t="s">
        <v>93</v>
      </c>
      <c r="C67">
        <v>0</v>
      </c>
      <c r="D67">
        <v>0</v>
      </c>
      <c r="E67">
        <v>0</v>
      </c>
      <c r="F67">
        <v>0</v>
      </c>
      <c r="G67">
        <v>0</v>
      </c>
      <c r="H67">
        <v>4</v>
      </c>
      <c r="I67">
        <v>20</v>
      </c>
      <c r="J67">
        <v>3</v>
      </c>
      <c r="K67">
        <v>5</v>
      </c>
    </row>
    <row r="68" spans="1:11" x14ac:dyDescent="0.3">
      <c r="A68" t="s">
        <v>221</v>
      </c>
      <c r="B68" t="s">
        <v>30</v>
      </c>
      <c r="C68">
        <v>20</v>
      </c>
      <c r="D68">
        <v>15</v>
      </c>
      <c r="E68">
        <v>1</v>
      </c>
      <c r="F68">
        <v>1</v>
      </c>
      <c r="G68">
        <v>133.33000000000001</v>
      </c>
      <c r="H68">
        <v>0</v>
      </c>
      <c r="I68">
        <v>0</v>
      </c>
      <c r="J68">
        <v>0</v>
      </c>
      <c r="K68">
        <v>0</v>
      </c>
    </row>
    <row r="69" spans="1:11" x14ac:dyDescent="0.3">
      <c r="A69" t="s">
        <v>222</v>
      </c>
      <c r="B69" t="s">
        <v>55</v>
      </c>
      <c r="C69">
        <v>90</v>
      </c>
      <c r="D69">
        <v>48</v>
      </c>
      <c r="E69">
        <v>8</v>
      </c>
      <c r="F69">
        <v>5</v>
      </c>
      <c r="G69">
        <v>187.5</v>
      </c>
      <c r="H69">
        <v>4</v>
      </c>
      <c r="I69">
        <v>35</v>
      </c>
      <c r="J69">
        <v>1</v>
      </c>
      <c r="K69">
        <v>8.75</v>
      </c>
    </row>
    <row r="70" spans="1:11" x14ac:dyDescent="0.3">
      <c r="A70" t="s">
        <v>222</v>
      </c>
      <c r="B70" t="s">
        <v>63</v>
      </c>
      <c r="C70">
        <v>55</v>
      </c>
      <c r="D70">
        <v>35</v>
      </c>
      <c r="E70">
        <v>5</v>
      </c>
      <c r="F70">
        <v>2</v>
      </c>
      <c r="G70">
        <v>157.13999999999999</v>
      </c>
      <c r="H70">
        <v>0</v>
      </c>
      <c r="I70">
        <v>0</v>
      </c>
      <c r="J70">
        <v>0</v>
      </c>
      <c r="K70">
        <v>0</v>
      </c>
    </row>
    <row r="71" spans="1:11" x14ac:dyDescent="0.3">
      <c r="A71" t="s">
        <v>223</v>
      </c>
      <c r="B71" t="s">
        <v>101</v>
      </c>
      <c r="C71">
        <v>110</v>
      </c>
      <c r="D71">
        <v>60</v>
      </c>
      <c r="E71">
        <v>10</v>
      </c>
      <c r="F71">
        <v>6</v>
      </c>
      <c r="G71">
        <v>183.33</v>
      </c>
      <c r="H71">
        <v>0</v>
      </c>
      <c r="I71">
        <v>0</v>
      </c>
      <c r="J71">
        <v>0</v>
      </c>
      <c r="K71">
        <v>0</v>
      </c>
    </row>
    <row r="72" spans="1:11" x14ac:dyDescent="0.3">
      <c r="A72" t="s">
        <v>223</v>
      </c>
      <c r="B72" t="s">
        <v>45</v>
      </c>
      <c r="C72">
        <v>0</v>
      </c>
      <c r="D72">
        <v>0</v>
      </c>
      <c r="E72">
        <v>0</v>
      </c>
      <c r="F72">
        <v>0</v>
      </c>
      <c r="G72">
        <v>0</v>
      </c>
      <c r="H72">
        <v>4</v>
      </c>
      <c r="I72">
        <v>45</v>
      </c>
      <c r="J72">
        <v>1</v>
      </c>
      <c r="K72">
        <v>11.25</v>
      </c>
    </row>
    <row r="73" spans="1:11" x14ac:dyDescent="0.3">
      <c r="A73" t="s">
        <v>224</v>
      </c>
      <c r="B73" t="s">
        <v>27</v>
      </c>
      <c r="C73">
        <v>30</v>
      </c>
      <c r="D73">
        <v>20</v>
      </c>
      <c r="E73">
        <v>2</v>
      </c>
      <c r="F73">
        <v>2</v>
      </c>
      <c r="G73">
        <v>150</v>
      </c>
      <c r="H73">
        <v>4</v>
      </c>
      <c r="I73">
        <v>25</v>
      </c>
      <c r="J73">
        <v>2</v>
      </c>
      <c r="K73">
        <v>6.25</v>
      </c>
    </row>
    <row r="74" spans="1:11" x14ac:dyDescent="0.3">
      <c r="A74" t="s">
        <v>224</v>
      </c>
      <c r="B74" t="s">
        <v>88</v>
      </c>
      <c r="C74">
        <v>0</v>
      </c>
      <c r="D74">
        <v>0</v>
      </c>
      <c r="E74">
        <v>0</v>
      </c>
      <c r="F74">
        <v>0</v>
      </c>
      <c r="G74">
        <v>0</v>
      </c>
      <c r="H74">
        <v>4</v>
      </c>
      <c r="I74">
        <v>38</v>
      </c>
      <c r="J74">
        <v>1</v>
      </c>
      <c r="K74">
        <v>9.5</v>
      </c>
    </row>
    <row r="75" spans="1:11" x14ac:dyDescent="0.3">
      <c r="A75" t="s">
        <v>225</v>
      </c>
      <c r="B75" t="s">
        <v>80</v>
      </c>
      <c r="C75">
        <v>0</v>
      </c>
      <c r="D75">
        <v>0</v>
      </c>
      <c r="E75">
        <v>0</v>
      </c>
      <c r="F75">
        <v>0</v>
      </c>
      <c r="G75">
        <v>0</v>
      </c>
      <c r="H75">
        <v>3.3</v>
      </c>
      <c r="I75">
        <v>18</v>
      </c>
      <c r="J75">
        <v>4</v>
      </c>
      <c r="K75">
        <v>5.14</v>
      </c>
    </row>
    <row r="76" spans="1:11" x14ac:dyDescent="0.3">
      <c r="A76" t="s">
        <v>225</v>
      </c>
      <c r="B76" t="s">
        <v>103</v>
      </c>
      <c r="C76">
        <v>35</v>
      </c>
      <c r="D76">
        <v>28</v>
      </c>
      <c r="E76">
        <v>3</v>
      </c>
      <c r="F76">
        <v>1</v>
      </c>
      <c r="G76">
        <v>125</v>
      </c>
      <c r="H76">
        <v>0</v>
      </c>
      <c r="I76">
        <v>0</v>
      </c>
      <c r="J76">
        <v>0</v>
      </c>
      <c r="K76">
        <v>0</v>
      </c>
    </row>
    <row r="77" spans="1:11" x14ac:dyDescent="0.3">
      <c r="A77" t="s">
        <v>226</v>
      </c>
      <c r="B77" t="s">
        <v>33</v>
      </c>
      <c r="C77">
        <v>0</v>
      </c>
      <c r="D77">
        <v>0</v>
      </c>
      <c r="E77">
        <v>0</v>
      </c>
      <c r="F77">
        <v>0</v>
      </c>
      <c r="G77">
        <v>0</v>
      </c>
      <c r="H77">
        <v>4</v>
      </c>
      <c r="I77">
        <v>22</v>
      </c>
      <c r="J77">
        <v>2</v>
      </c>
      <c r="K77">
        <v>5.5</v>
      </c>
    </row>
    <row r="78" spans="1:11" x14ac:dyDescent="0.3">
      <c r="A78" t="s">
        <v>226</v>
      </c>
      <c r="B78" t="s">
        <v>69</v>
      </c>
      <c r="C78">
        <v>45</v>
      </c>
      <c r="D78">
        <v>30</v>
      </c>
      <c r="E78">
        <v>4</v>
      </c>
      <c r="F78">
        <v>2</v>
      </c>
      <c r="G78">
        <v>150</v>
      </c>
      <c r="H78">
        <v>0</v>
      </c>
      <c r="I78">
        <v>0</v>
      </c>
      <c r="J78">
        <v>0</v>
      </c>
      <c r="K78">
        <v>0</v>
      </c>
    </row>
    <row r="79" spans="1:11" x14ac:dyDescent="0.3">
      <c r="A79" t="s">
        <v>227</v>
      </c>
      <c r="B79" t="s">
        <v>42</v>
      </c>
      <c r="C79">
        <v>120</v>
      </c>
      <c r="D79">
        <v>60</v>
      </c>
      <c r="E79">
        <v>12</v>
      </c>
      <c r="F79">
        <v>7</v>
      </c>
      <c r="G79">
        <v>200</v>
      </c>
      <c r="H79">
        <v>0</v>
      </c>
      <c r="I79">
        <v>0</v>
      </c>
      <c r="J79">
        <v>0</v>
      </c>
      <c r="K79">
        <v>0</v>
      </c>
    </row>
    <row r="80" spans="1:11" x14ac:dyDescent="0.3">
      <c r="A80" t="s">
        <v>227</v>
      </c>
      <c r="B80" t="s">
        <v>58</v>
      </c>
      <c r="C80">
        <v>10</v>
      </c>
      <c r="D80">
        <v>8</v>
      </c>
      <c r="E80">
        <v>0</v>
      </c>
      <c r="F80">
        <v>1</v>
      </c>
      <c r="G80">
        <v>125</v>
      </c>
      <c r="H80">
        <v>4</v>
      </c>
      <c r="I80">
        <v>30</v>
      </c>
      <c r="J80">
        <v>1</v>
      </c>
      <c r="K80">
        <v>7.5</v>
      </c>
    </row>
    <row r="81" spans="1:11" x14ac:dyDescent="0.3">
      <c r="A81" t="s">
        <v>228</v>
      </c>
      <c r="B81" t="s">
        <v>83</v>
      </c>
      <c r="C81">
        <v>85</v>
      </c>
      <c r="D81">
        <v>55</v>
      </c>
      <c r="E81">
        <v>9</v>
      </c>
      <c r="F81">
        <v>2</v>
      </c>
      <c r="G81">
        <v>154.55000000000001</v>
      </c>
      <c r="H81">
        <v>0</v>
      </c>
      <c r="I81">
        <v>0</v>
      </c>
      <c r="J81">
        <v>0</v>
      </c>
      <c r="K81">
        <v>0</v>
      </c>
    </row>
    <row r="82" spans="1:11" x14ac:dyDescent="0.3">
      <c r="A82" t="s">
        <v>228</v>
      </c>
      <c r="B82" t="s">
        <v>93</v>
      </c>
      <c r="C82">
        <v>0</v>
      </c>
      <c r="D82">
        <v>0</v>
      </c>
      <c r="E82">
        <v>0</v>
      </c>
      <c r="F82">
        <v>0</v>
      </c>
      <c r="G82">
        <v>0</v>
      </c>
      <c r="H82">
        <v>4</v>
      </c>
      <c r="I82">
        <v>45</v>
      </c>
      <c r="J82">
        <v>0</v>
      </c>
      <c r="K82">
        <v>11.25</v>
      </c>
    </row>
    <row r="83" spans="1:11" x14ac:dyDescent="0.3">
      <c r="A83" t="s">
        <v>229</v>
      </c>
      <c r="B83" t="s">
        <v>96</v>
      </c>
      <c r="C83">
        <v>70</v>
      </c>
      <c r="D83">
        <v>40</v>
      </c>
      <c r="E83">
        <v>7</v>
      </c>
      <c r="F83">
        <v>3</v>
      </c>
      <c r="G83">
        <v>175</v>
      </c>
      <c r="H83">
        <v>0</v>
      </c>
      <c r="I83">
        <v>0</v>
      </c>
      <c r="J83">
        <v>0</v>
      </c>
      <c r="K83">
        <v>0</v>
      </c>
    </row>
    <row r="84" spans="1:11" x14ac:dyDescent="0.3">
      <c r="A84" t="s">
        <v>229</v>
      </c>
      <c r="B84" t="s">
        <v>15</v>
      </c>
      <c r="C84">
        <v>0</v>
      </c>
      <c r="D84">
        <v>0</v>
      </c>
      <c r="E84">
        <v>0</v>
      </c>
      <c r="F84">
        <v>0</v>
      </c>
      <c r="G84">
        <v>0</v>
      </c>
      <c r="H84">
        <v>4</v>
      </c>
      <c r="I84">
        <v>29</v>
      </c>
      <c r="J84">
        <v>2</v>
      </c>
      <c r="K84">
        <v>7.25</v>
      </c>
    </row>
    <row r="85" spans="1:11" x14ac:dyDescent="0.3">
      <c r="A85" t="s">
        <v>230</v>
      </c>
      <c r="B85" t="s">
        <v>63</v>
      </c>
      <c r="C85">
        <v>90</v>
      </c>
      <c r="D85">
        <v>50</v>
      </c>
      <c r="E85">
        <v>9</v>
      </c>
      <c r="F85">
        <v>4</v>
      </c>
      <c r="G85">
        <v>180</v>
      </c>
      <c r="H85">
        <v>0</v>
      </c>
      <c r="I85">
        <v>0</v>
      </c>
      <c r="J85">
        <v>0</v>
      </c>
      <c r="K85">
        <v>0</v>
      </c>
    </row>
    <row r="86" spans="1:11" x14ac:dyDescent="0.3">
      <c r="A86" t="s">
        <v>230</v>
      </c>
      <c r="B86" t="s">
        <v>36</v>
      </c>
      <c r="C86">
        <v>30</v>
      </c>
      <c r="D86">
        <v>20</v>
      </c>
      <c r="E86">
        <v>2</v>
      </c>
      <c r="F86">
        <v>2</v>
      </c>
      <c r="G86">
        <v>150</v>
      </c>
      <c r="H86">
        <v>0</v>
      </c>
      <c r="I86">
        <v>0</v>
      </c>
      <c r="J86">
        <v>0</v>
      </c>
      <c r="K86">
        <v>0</v>
      </c>
    </row>
    <row r="87" spans="1:11" x14ac:dyDescent="0.3">
      <c r="A87" t="s">
        <v>231</v>
      </c>
      <c r="B87" t="s">
        <v>45</v>
      </c>
      <c r="C87">
        <v>0</v>
      </c>
      <c r="D87">
        <v>0</v>
      </c>
      <c r="E87">
        <v>0</v>
      </c>
      <c r="F87">
        <v>0</v>
      </c>
      <c r="G87">
        <v>0</v>
      </c>
      <c r="H87">
        <v>4</v>
      </c>
      <c r="I87">
        <v>25</v>
      </c>
      <c r="J87">
        <v>3</v>
      </c>
      <c r="K87">
        <v>6.25</v>
      </c>
    </row>
    <row r="88" spans="1:11" x14ac:dyDescent="0.3">
      <c r="A88" t="s">
        <v>231</v>
      </c>
      <c r="B88" t="s">
        <v>19</v>
      </c>
      <c r="C88">
        <v>5</v>
      </c>
      <c r="D88">
        <v>10</v>
      </c>
      <c r="E88">
        <v>0</v>
      </c>
      <c r="F88">
        <v>0</v>
      </c>
      <c r="G88">
        <v>50</v>
      </c>
      <c r="H88">
        <v>0</v>
      </c>
      <c r="I88">
        <v>0</v>
      </c>
      <c r="J88">
        <v>0</v>
      </c>
      <c r="K88">
        <v>0</v>
      </c>
    </row>
    <row r="89" spans="1:11" x14ac:dyDescent="0.3">
      <c r="A89" t="s">
        <v>232</v>
      </c>
      <c r="B89" t="s">
        <v>52</v>
      </c>
      <c r="C89">
        <v>105</v>
      </c>
      <c r="D89">
        <v>55</v>
      </c>
      <c r="E89">
        <v>10</v>
      </c>
      <c r="F89">
        <v>5</v>
      </c>
      <c r="G89">
        <v>190.91</v>
      </c>
      <c r="H89">
        <v>0</v>
      </c>
      <c r="I89">
        <v>0</v>
      </c>
      <c r="J89">
        <v>0</v>
      </c>
      <c r="K89">
        <v>0</v>
      </c>
    </row>
    <row r="90" spans="1:11" x14ac:dyDescent="0.3">
      <c r="A90" t="s">
        <v>232</v>
      </c>
      <c r="B90" t="s">
        <v>78</v>
      </c>
      <c r="C90">
        <v>0</v>
      </c>
      <c r="D90">
        <v>0</v>
      </c>
      <c r="E90">
        <v>0</v>
      </c>
      <c r="F90">
        <v>0</v>
      </c>
      <c r="G90">
        <v>0</v>
      </c>
      <c r="H90">
        <v>4</v>
      </c>
      <c r="I90">
        <v>40</v>
      </c>
      <c r="J90">
        <v>1</v>
      </c>
      <c r="K90">
        <v>10</v>
      </c>
    </row>
    <row r="91" spans="1:11" x14ac:dyDescent="0.3">
      <c r="A91" t="s">
        <v>233</v>
      </c>
      <c r="B91" t="s">
        <v>103</v>
      </c>
      <c r="C91">
        <v>95</v>
      </c>
      <c r="D91">
        <v>58</v>
      </c>
      <c r="E91">
        <v>10</v>
      </c>
      <c r="F91">
        <v>4</v>
      </c>
      <c r="G91">
        <v>163.79</v>
      </c>
      <c r="H91">
        <v>0</v>
      </c>
      <c r="I91">
        <v>0</v>
      </c>
      <c r="J91">
        <v>0</v>
      </c>
      <c r="K91">
        <v>0</v>
      </c>
    </row>
    <row r="92" spans="1:11" x14ac:dyDescent="0.3">
      <c r="A92" t="s">
        <v>233</v>
      </c>
      <c r="B92" t="s">
        <v>63</v>
      </c>
      <c r="C92">
        <v>45</v>
      </c>
      <c r="D92">
        <v>35</v>
      </c>
      <c r="E92">
        <v>4</v>
      </c>
      <c r="F92">
        <v>1</v>
      </c>
      <c r="G92">
        <v>128.57</v>
      </c>
      <c r="H92">
        <v>0</v>
      </c>
      <c r="I92">
        <v>0</v>
      </c>
      <c r="J92">
        <v>0</v>
      </c>
      <c r="K92">
        <v>0</v>
      </c>
    </row>
    <row r="93" spans="1:11" x14ac:dyDescent="0.3">
      <c r="A93" t="s">
        <v>234</v>
      </c>
      <c r="B93" t="s">
        <v>30</v>
      </c>
      <c r="C93">
        <v>58</v>
      </c>
      <c r="D93">
        <v>32</v>
      </c>
      <c r="E93">
        <v>6</v>
      </c>
      <c r="F93">
        <v>3</v>
      </c>
      <c r="G93">
        <v>181.25</v>
      </c>
      <c r="H93">
        <v>0</v>
      </c>
      <c r="I93">
        <v>0</v>
      </c>
      <c r="J93">
        <v>0</v>
      </c>
      <c r="K93">
        <v>0</v>
      </c>
    </row>
    <row r="94" spans="1:11" x14ac:dyDescent="0.3">
      <c r="A94" t="s">
        <v>234</v>
      </c>
      <c r="B94" t="s">
        <v>74</v>
      </c>
      <c r="C94">
        <v>40</v>
      </c>
      <c r="D94">
        <v>28</v>
      </c>
      <c r="E94">
        <v>3</v>
      </c>
      <c r="F94">
        <v>1</v>
      </c>
      <c r="G94">
        <v>142.86000000000001</v>
      </c>
      <c r="H94">
        <v>0</v>
      </c>
      <c r="I94">
        <v>0</v>
      </c>
      <c r="J94">
        <v>0</v>
      </c>
      <c r="K94">
        <v>0</v>
      </c>
    </row>
    <row r="95" spans="1:11" x14ac:dyDescent="0.3">
      <c r="A95" t="s">
        <v>235</v>
      </c>
      <c r="B95" t="s">
        <v>55</v>
      </c>
      <c r="C95">
        <v>34</v>
      </c>
      <c r="D95">
        <v>18</v>
      </c>
      <c r="E95">
        <v>2</v>
      </c>
      <c r="F95">
        <v>3</v>
      </c>
      <c r="G95">
        <v>188.89</v>
      </c>
      <c r="H95">
        <v>4</v>
      </c>
      <c r="I95">
        <v>38</v>
      </c>
      <c r="J95">
        <v>3</v>
      </c>
      <c r="K95">
        <v>9.5</v>
      </c>
    </row>
    <row r="96" spans="1:11" x14ac:dyDescent="0.3">
      <c r="A96" t="s">
        <v>235</v>
      </c>
      <c r="B96" t="s">
        <v>88</v>
      </c>
      <c r="C96">
        <v>0</v>
      </c>
      <c r="D96">
        <v>0</v>
      </c>
      <c r="E96">
        <v>0</v>
      </c>
      <c r="F96">
        <v>0</v>
      </c>
      <c r="G96">
        <v>0</v>
      </c>
      <c r="H96">
        <v>4</v>
      </c>
      <c r="I96">
        <v>30</v>
      </c>
      <c r="J96">
        <v>2</v>
      </c>
      <c r="K96">
        <v>7.5</v>
      </c>
    </row>
    <row r="97" spans="1:11" x14ac:dyDescent="0.3">
      <c r="A97" t="s">
        <v>236</v>
      </c>
      <c r="B97" t="s">
        <v>74</v>
      </c>
      <c r="C97">
        <v>65</v>
      </c>
      <c r="D97">
        <v>40</v>
      </c>
      <c r="E97">
        <v>7</v>
      </c>
      <c r="F97">
        <v>2</v>
      </c>
      <c r="G97">
        <v>162.5</v>
      </c>
      <c r="H97">
        <v>0</v>
      </c>
      <c r="I97">
        <v>0</v>
      </c>
      <c r="J97">
        <v>0</v>
      </c>
      <c r="K97">
        <v>0</v>
      </c>
    </row>
    <row r="98" spans="1:11" x14ac:dyDescent="0.3">
      <c r="A98" t="s">
        <v>236</v>
      </c>
      <c r="B98" t="s">
        <v>15</v>
      </c>
      <c r="C98">
        <v>0</v>
      </c>
      <c r="D98">
        <v>0</v>
      </c>
      <c r="E98">
        <v>0</v>
      </c>
      <c r="F98">
        <v>0</v>
      </c>
      <c r="G98">
        <v>0</v>
      </c>
      <c r="H98">
        <v>3.2</v>
      </c>
      <c r="I98">
        <v>25</v>
      </c>
      <c r="J98">
        <v>3</v>
      </c>
      <c r="K98">
        <v>7.5</v>
      </c>
    </row>
    <row r="99" spans="1:11" x14ac:dyDescent="0.3">
      <c r="A99" t="s">
        <v>237</v>
      </c>
      <c r="B99" t="s">
        <v>83</v>
      </c>
      <c r="C99">
        <v>88</v>
      </c>
      <c r="D99">
        <v>52</v>
      </c>
      <c r="E99">
        <v>8</v>
      </c>
      <c r="F99">
        <v>3</v>
      </c>
      <c r="G99">
        <v>169.23</v>
      </c>
      <c r="H99">
        <v>0</v>
      </c>
      <c r="I99">
        <v>0</v>
      </c>
      <c r="J99">
        <v>0</v>
      </c>
      <c r="K99">
        <v>0</v>
      </c>
    </row>
    <row r="100" spans="1:11" x14ac:dyDescent="0.3">
      <c r="A100" t="s">
        <v>237</v>
      </c>
      <c r="B100" t="s">
        <v>42</v>
      </c>
      <c r="C100">
        <v>5</v>
      </c>
      <c r="D100">
        <v>7</v>
      </c>
      <c r="E100">
        <v>0</v>
      </c>
      <c r="F100">
        <v>0</v>
      </c>
      <c r="G100">
        <v>71.430000000000007</v>
      </c>
      <c r="H100">
        <v>0</v>
      </c>
      <c r="I100">
        <v>0</v>
      </c>
      <c r="J100">
        <v>0</v>
      </c>
      <c r="K100">
        <v>0</v>
      </c>
    </row>
    <row r="101" spans="1:11" x14ac:dyDescent="0.3">
      <c r="A101" t="s">
        <v>238</v>
      </c>
      <c r="B101" t="s">
        <v>58</v>
      </c>
      <c r="C101">
        <v>18</v>
      </c>
      <c r="D101">
        <v>10</v>
      </c>
      <c r="E101">
        <v>1</v>
      </c>
      <c r="F101">
        <v>1</v>
      </c>
      <c r="G101">
        <v>180</v>
      </c>
      <c r="H101">
        <v>4</v>
      </c>
      <c r="I101">
        <v>22</v>
      </c>
      <c r="J101">
        <v>2</v>
      </c>
      <c r="K101">
        <v>5.5</v>
      </c>
    </row>
    <row r="102" spans="1:11" x14ac:dyDescent="0.3">
      <c r="A102" t="s">
        <v>238</v>
      </c>
      <c r="B102" t="s">
        <v>71</v>
      </c>
      <c r="C102">
        <v>0</v>
      </c>
      <c r="D102">
        <v>0</v>
      </c>
      <c r="E102">
        <v>0</v>
      </c>
      <c r="F102">
        <v>0</v>
      </c>
      <c r="G102">
        <v>0</v>
      </c>
      <c r="H102">
        <v>4</v>
      </c>
      <c r="I102">
        <v>25</v>
      </c>
      <c r="J102">
        <v>1</v>
      </c>
      <c r="K102">
        <v>6.25</v>
      </c>
    </row>
    <row r="103" spans="1:11" x14ac:dyDescent="0.3">
      <c r="A103" t="s">
        <v>239</v>
      </c>
      <c r="B103" t="s">
        <v>33</v>
      </c>
      <c r="C103">
        <v>0</v>
      </c>
      <c r="D103">
        <v>0</v>
      </c>
      <c r="E103">
        <v>0</v>
      </c>
      <c r="F103">
        <v>0</v>
      </c>
      <c r="G103">
        <v>0</v>
      </c>
      <c r="H103">
        <v>4</v>
      </c>
      <c r="I103">
        <v>24</v>
      </c>
      <c r="J103">
        <v>3</v>
      </c>
      <c r="K103">
        <v>6</v>
      </c>
    </row>
    <row r="104" spans="1:11" x14ac:dyDescent="0.3">
      <c r="A104" t="s">
        <v>239</v>
      </c>
      <c r="B104" t="s">
        <v>27</v>
      </c>
      <c r="C104">
        <v>35</v>
      </c>
      <c r="D104">
        <v>25</v>
      </c>
      <c r="E104">
        <v>2</v>
      </c>
      <c r="F104">
        <v>2</v>
      </c>
      <c r="G104">
        <v>140</v>
      </c>
      <c r="H104">
        <v>0</v>
      </c>
      <c r="I104">
        <v>0</v>
      </c>
      <c r="J104">
        <v>0</v>
      </c>
      <c r="K104">
        <v>0</v>
      </c>
    </row>
    <row r="105" spans="1:11" x14ac:dyDescent="0.3">
      <c r="A105" t="s">
        <v>240</v>
      </c>
      <c r="B105" t="s">
        <v>101</v>
      </c>
      <c r="C105">
        <v>56</v>
      </c>
      <c r="D105">
        <v>28</v>
      </c>
      <c r="E105">
        <v>3</v>
      </c>
      <c r="F105">
        <v>5</v>
      </c>
      <c r="G105">
        <v>200</v>
      </c>
      <c r="H105">
        <v>0</v>
      </c>
      <c r="I105">
        <v>0</v>
      </c>
      <c r="J105">
        <v>0</v>
      </c>
      <c r="K105">
        <v>0</v>
      </c>
    </row>
    <row r="106" spans="1:11" x14ac:dyDescent="0.3">
      <c r="A106" t="s">
        <v>240</v>
      </c>
      <c r="B106" t="s">
        <v>52</v>
      </c>
      <c r="C106">
        <v>22</v>
      </c>
      <c r="D106">
        <v>19</v>
      </c>
      <c r="E106">
        <v>1</v>
      </c>
      <c r="F106">
        <v>0</v>
      </c>
      <c r="G106">
        <v>115.79</v>
      </c>
      <c r="H106">
        <v>0</v>
      </c>
      <c r="I106">
        <v>0</v>
      </c>
      <c r="J106">
        <v>0</v>
      </c>
      <c r="K106">
        <v>0</v>
      </c>
    </row>
    <row r="107" spans="1:11" x14ac:dyDescent="0.3">
      <c r="A107" t="s">
        <v>241</v>
      </c>
      <c r="B107" t="s">
        <v>60</v>
      </c>
      <c r="C107">
        <v>0</v>
      </c>
      <c r="D107">
        <v>0</v>
      </c>
      <c r="E107">
        <v>0</v>
      </c>
      <c r="F107">
        <v>0</v>
      </c>
      <c r="G107">
        <v>0</v>
      </c>
      <c r="H107">
        <v>3.3</v>
      </c>
      <c r="I107">
        <v>19</v>
      </c>
      <c r="J107">
        <v>4</v>
      </c>
      <c r="K107">
        <v>5.43</v>
      </c>
    </row>
    <row r="108" spans="1:11" x14ac:dyDescent="0.3">
      <c r="A108" t="s">
        <v>241</v>
      </c>
      <c r="B108" t="s">
        <v>42</v>
      </c>
      <c r="C108">
        <v>40</v>
      </c>
      <c r="D108">
        <v>30</v>
      </c>
      <c r="E108">
        <v>3</v>
      </c>
      <c r="F108">
        <v>1</v>
      </c>
      <c r="G108">
        <v>133.33000000000001</v>
      </c>
      <c r="H108">
        <v>0</v>
      </c>
      <c r="I108">
        <v>0</v>
      </c>
      <c r="J108">
        <v>0</v>
      </c>
      <c r="K108">
        <v>0</v>
      </c>
    </row>
    <row r="109" spans="1:11" x14ac:dyDescent="0.3">
      <c r="A109" t="s">
        <v>242</v>
      </c>
      <c r="B109" t="s">
        <v>66</v>
      </c>
      <c r="C109">
        <v>0</v>
      </c>
      <c r="D109">
        <v>0</v>
      </c>
      <c r="E109">
        <v>0</v>
      </c>
      <c r="F109">
        <v>0</v>
      </c>
      <c r="G109">
        <v>0</v>
      </c>
      <c r="H109">
        <v>4</v>
      </c>
      <c r="I109">
        <v>17</v>
      </c>
      <c r="J109">
        <v>2</v>
      </c>
      <c r="K109">
        <v>4.25</v>
      </c>
    </row>
    <row r="110" spans="1:11" x14ac:dyDescent="0.3">
      <c r="A110" t="s">
        <v>242</v>
      </c>
      <c r="B110" t="s">
        <v>91</v>
      </c>
      <c r="C110">
        <v>12</v>
      </c>
      <c r="D110">
        <v>14</v>
      </c>
      <c r="E110">
        <v>1</v>
      </c>
      <c r="F110">
        <v>0</v>
      </c>
      <c r="G110">
        <v>85.71</v>
      </c>
      <c r="H110">
        <v>0</v>
      </c>
      <c r="I110">
        <v>0</v>
      </c>
      <c r="J110">
        <v>0</v>
      </c>
      <c r="K110">
        <v>0</v>
      </c>
    </row>
    <row r="111" spans="1:11" x14ac:dyDescent="0.3">
      <c r="A111" t="s">
        <v>243</v>
      </c>
      <c r="B111" t="s">
        <v>85</v>
      </c>
      <c r="C111">
        <v>75</v>
      </c>
      <c r="D111">
        <v>45</v>
      </c>
      <c r="E111">
        <v>5</v>
      </c>
      <c r="F111">
        <v>4</v>
      </c>
      <c r="G111">
        <v>166.67</v>
      </c>
      <c r="H111">
        <v>0</v>
      </c>
      <c r="I111">
        <v>0</v>
      </c>
      <c r="J111">
        <v>0</v>
      </c>
      <c r="K111">
        <v>0</v>
      </c>
    </row>
    <row r="112" spans="1:11" x14ac:dyDescent="0.3">
      <c r="A112" t="s">
        <v>243</v>
      </c>
      <c r="B112" t="s">
        <v>45</v>
      </c>
      <c r="C112">
        <v>25</v>
      </c>
      <c r="D112">
        <v>18</v>
      </c>
      <c r="E112">
        <v>1</v>
      </c>
      <c r="F112">
        <v>1</v>
      </c>
      <c r="G112">
        <v>138.88999999999999</v>
      </c>
      <c r="H112">
        <v>4</v>
      </c>
      <c r="I112">
        <v>35</v>
      </c>
      <c r="J112">
        <v>1</v>
      </c>
      <c r="K112">
        <v>8.75</v>
      </c>
    </row>
    <row r="113" spans="1:11" x14ac:dyDescent="0.3">
      <c r="A113" t="s">
        <v>244</v>
      </c>
      <c r="B113" t="s">
        <v>36</v>
      </c>
      <c r="C113">
        <v>48</v>
      </c>
      <c r="D113">
        <v>32</v>
      </c>
      <c r="E113">
        <v>4</v>
      </c>
      <c r="F113">
        <v>1</v>
      </c>
      <c r="G113">
        <v>150</v>
      </c>
      <c r="H113">
        <v>0</v>
      </c>
      <c r="I113">
        <v>0</v>
      </c>
      <c r="J113">
        <v>0</v>
      </c>
      <c r="K113">
        <v>0</v>
      </c>
    </row>
    <row r="114" spans="1:11" x14ac:dyDescent="0.3">
      <c r="A114" t="s">
        <v>244</v>
      </c>
      <c r="B114" t="s">
        <v>15</v>
      </c>
      <c r="C114">
        <v>0</v>
      </c>
      <c r="D114">
        <v>0</v>
      </c>
      <c r="E114">
        <v>0</v>
      </c>
      <c r="F114">
        <v>0</v>
      </c>
      <c r="G114">
        <v>0</v>
      </c>
      <c r="H114">
        <v>4</v>
      </c>
      <c r="I114">
        <v>30</v>
      </c>
      <c r="J114">
        <v>2</v>
      </c>
      <c r="K114">
        <v>7.5</v>
      </c>
    </row>
    <row r="115" spans="1:11" x14ac:dyDescent="0.3">
      <c r="A115" t="s">
        <v>245</v>
      </c>
      <c r="B115" t="s">
        <v>42</v>
      </c>
      <c r="C115">
        <v>105</v>
      </c>
      <c r="D115">
        <v>60</v>
      </c>
      <c r="E115">
        <v>12</v>
      </c>
      <c r="F115">
        <v>3</v>
      </c>
      <c r="G115">
        <v>175</v>
      </c>
      <c r="H115">
        <v>0</v>
      </c>
      <c r="I115">
        <v>0</v>
      </c>
      <c r="J115">
        <v>0</v>
      </c>
      <c r="K115">
        <v>0</v>
      </c>
    </row>
    <row r="116" spans="1:11" x14ac:dyDescent="0.3">
      <c r="A116" t="s">
        <v>245</v>
      </c>
      <c r="B116" t="s">
        <v>69</v>
      </c>
      <c r="C116">
        <v>0</v>
      </c>
      <c r="D116">
        <v>0</v>
      </c>
      <c r="E116">
        <v>0</v>
      </c>
      <c r="F116">
        <v>0</v>
      </c>
      <c r="G116">
        <v>0</v>
      </c>
      <c r="H116">
        <v>4</v>
      </c>
      <c r="I116">
        <v>40</v>
      </c>
      <c r="J116">
        <v>1</v>
      </c>
      <c r="K116">
        <v>10</v>
      </c>
    </row>
    <row r="117" spans="1:11" x14ac:dyDescent="0.3">
      <c r="A117" t="s">
        <v>246</v>
      </c>
      <c r="B117" t="s">
        <v>8</v>
      </c>
      <c r="C117">
        <v>88</v>
      </c>
      <c r="D117">
        <v>48</v>
      </c>
      <c r="E117">
        <v>9</v>
      </c>
      <c r="F117">
        <v>4</v>
      </c>
      <c r="G117">
        <v>183.33</v>
      </c>
      <c r="H117">
        <v>0</v>
      </c>
      <c r="I117">
        <v>0</v>
      </c>
      <c r="J117">
        <v>0</v>
      </c>
      <c r="K117">
        <v>0</v>
      </c>
    </row>
    <row r="118" spans="1:11" x14ac:dyDescent="0.3">
      <c r="A118" t="s">
        <v>246</v>
      </c>
      <c r="B118" t="s">
        <v>78</v>
      </c>
      <c r="C118">
        <v>0</v>
      </c>
      <c r="D118">
        <v>0</v>
      </c>
      <c r="E118">
        <v>0</v>
      </c>
      <c r="F118">
        <v>0</v>
      </c>
      <c r="G118">
        <v>0</v>
      </c>
      <c r="H118">
        <v>4</v>
      </c>
      <c r="I118">
        <v>30</v>
      </c>
      <c r="J118">
        <v>1</v>
      </c>
      <c r="K118">
        <v>7.5</v>
      </c>
    </row>
    <row r="119" spans="1:11" x14ac:dyDescent="0.3">
      <c r="A119" t="s">
        <v>247</v>
      </c>
      <c r="B119" t="s">
        <v>96</v>
      </c>
      <c r="C119">
        <v>65</v>
      </c>
      <c r="D119">
        <v>40</v>
      </c>
      <c r="E119">
        <v>6</v>
      </c>
      <c r="F119">
        <v>2</v>
      </c>
      <c r="G119">
        <v>162.5</v>
      </c>
      <c r="H119">
        <v>0</v>
      </c>
      <c r="I119">
        <v>0</v>
      </c>
      <c r="J119">
        <v>0</v>
      </c>
      <c r="K119">
        <v>0</v>
      </c>
    </row>
    <row r="120" spans="1:11" x14ac:dyDescent="0.3">
      <c r="A120" t="s">
        <v>247</v>
      </c>
      <c r="B120" t="s">
        <v>52</v>
      </c>
      <c r="C120">
        <v>10</v>
      </c>
      <c r="D120">
        <v>8</v>
      </c>
      <c r="E120">
        <v>0</v>
      </c>
      <c r="F120">
        <v>1</v>
      </c>
      <c r="G120">
        <v>125</v>
      </c>
      <c r="H120">
        <v>0</v>
      </c>
      <c r="I120">
        <v>0</v>
      </c>
      <c r="J120">
        <v>0</v>
      </c>
      <c r="K120">
        <v>0</v>
      </c>
    </row>
    <row r="121" spans="1:11" x14ac:dyDescent="0.3">
      <c r="A121" t="s">
        <v>248</v>
      </c>
      <c r="B121" t="s">
        <v>88</v>
      </c>
      <c r="C121">
        <v>0</v>
      </c>
      <c r="D121">
        <v>0</v>
      </c>
      <c r="E121">
        <v>0</v>
      </c>
      <c r="F121">
        <v>0</v>
      </c>
      <c r="G121">
        <v>0</v>
      </c>
      <c r="H121">
        <v>4</v>
      </c>
      <c r="I121">
        <v>22</v>
      </c>
      <c r="J121">
        <v>3</v>
      </c>
      <c r="K121">
        <v>5.5</v>
      </c>
    </row>
    <row r="122" spans="1:11" x14ac:dyDescent="0.3">
      <c r="A122" t="s">
        <v>248</v>
      </c>
      <c r="B122" t="s">
        <v>19</v>
      </c>
      <c r="C122">
        <v>40</v>
      </c>
      <c r="D122">
        <v>30</v>
      </c>
      <c r="E122">
        <v>4</v>
      </c>
      <c r="F122">
        <v>1</v>
      </c>
      <c r="G122">
        <v>133.33000000000001</v>
      </c>
      <c r="H122">
        <v>0</v>
      </c>
      <c r="I122">
        <v>0</v>
      </c>
      <c r="J122">
        <v>0</v>
      </c>
      <c r="K122">
        <v>0</v>
      </c>
    </row>
    <row r="123" spans="1:11" x14ac:dyDescent="0.3">
      <c r="A123" t="s">
        <v>258</v>
      </c>
      <c r="B123" t="s">
        <v>30</v>
      </c>
      <c r="C123">
        <v>60</v>
      </c>
      <c r="D123">
        <v>35</v>
      </c>
      <c r="E123">
        <v>7</v>
      </c>
      <c r="F123">
        <v>2</v>
      </c>
      <c r="G123">
        <v>171.43</v>
      </c>
      <c r="H123">
        <v>0</v>
      </c>
      <c r="I123">
        <v>0</v>
      </c>
      <c r="J123">
        <v>0</v>
      </c>
      <c r="K123">
        <v>0</v>
      </c>
    </row>
    <row r="124" spans="1:11" x14ac:dyDescent="0.3">
      <c r="A124" t="s">
        <v>259</v>
      </c>
      <c r="B124" t="s">
        <v>103</v>
      </c>
      <c r="C124">
        <v>75</v>
      </c>
      <c r="D124">
        <v>45</v>
      </c>
      <c r="E124">
        <v>8</v>
      </c>
      <c r="F124">
        <v>3</v>
      </c>
      <c r="G124">
        <v>166.67</v>
      </c>
      <c r="H124">
        <v>0</v>
      </c>
      <c r="I124">
        <v>0</v>
      </c>
      <c r="J124">
        <v>0</v>
      </c>
      <c r="K124">
        <v>0</v>
      </c>
    </row>
    <row r="125" spans="1:11" x14ac:dyDescent="0.3">
      <c r="A125" t="s">
        <v>260</v>
      </c>
      <c r="B125" t="s">
        <v>55</v>
      </c>
      <c r="C125">
        <v>45</v>
      </c>
      <c r="D125">
        <v>25</v>
      </c>
      <c r="E125">
        <v>3</v>
      </c>
      <c r="F125">
        <v>4</v>
      </c>
      <c r="G125">
        <v>180</v>
      </c>
      <c r="H125">
        <v>4</v>
      </c>
      <c r="I125">
        <v>35</v>
      </c>
      <c r="J125">
        <v>2</v>
      </c>
      <c r="K125">
        <v>8.75</v>
      </c>
    </row>
    <row r="126" spans="1:11" x14ac:dyDescent="0.3">
      <c r="A126" t="s">
        <v>261</v>
      </c>
      <c r="B126" t="s">
        <v>74</v>
      </c>
      <c r="C126">
        <v>90</v>
      </c>
      <c r="D126">
        <v>50</v>
      </c>
      <c r="E126">
        <v>9</v>
      </c>
      <c r="F126">
        <v>3</v>
      </c>
      <c r="G126">
        <v>180</v>
      </c>
      <c r="H126">
        <v>0</v>
      </c>
      <c r="I126">
        <v>0</v>
      </c>
      <c r="J126">
        <v>0</v>
      </c>
      <c r="K126">
        <v>0</v>
      </c>
    </row>
    <row r="127" spans="1:11" x14ac:dyDescent="0.3">
      <c r="A127" t="s">
        <v>262</v>
      </c>
      <c r="B127" t="s">
        <v>83</v>
      </c>
      <c r="C127">
        <v>50</v>
      </c>
      <c r="D127">
        <v>30</v>
      </c>
      <c r="E127">
        <v>5</v>
      </c>
      <c r="F127">
        <v>2</v>
      </c>
      <c r="G127">
        <v>166.67</v>
      </c>
      <c r="H127">
        <v>0</v>
      </c>
      <c r="I127">
        <v>0</v>
      </c>
      <c r="J127">
        <v>0</v>
      </c>
      <c r="K127">
        <v>0</v>
      </c>
    </row>
    <row r="128" spans="1:11" x14ac:dyDescent="0.3">
      <c r="A128" t="s">
        <v>263</v>
      </c>
      <c r="B128" t="s">
        <v>58</v>
      </c>
      <c r="C128">
        <v>25</v>
      </c>
      <c r="D128">
        <v>15</v>
      </c>
      <c r="E128">
        <v>2</v>
      </c>
      <c r="F128">
        <v>2</v>
      </c>
      <c r="G128">
        <v>166.67</v>
      </c>
      <c r="H128">
        <v>4</v>
      </c>
      <c r="I128">
        <v>20</v>
      </c>
      <c r="J128">
        <v>3</v>
      </c>
      <c r="K128">
        <v>5</v>
      </c>
    </row>
    <row r="129" spans="1:11" x14ac:dyDescent="0.3">
      <c r="A129" t="s">
        <v>264</v>
      </c>
      <c r="B129" t="s">
        <v>33</v>
      </c>
      <c r="C129">
        <v>0</v>
      </c>
      <c r="D129">
        <v>0</v>
      </c>
      <c r="E129">
        <v>0</v>
      </c>
      <c r="F129">
        <v>0</v>
      </c>
      <c r="G129">
        <v>0</v>
      </c>
      <c r="H129">
        <v>4</v>
      </c>
      <c r="I129">
        <v>25</v>
      </c>
      <c r="J129">
        <v>3</v>
      </c>
      <c r="K129">
        <v>6.25</v>
      </c>
    </row>
    <row r="130" spans="1:11" x14ac:dyDescent="0.3">
      <c r="A130" t="s">
        <v>265</v>
      </c>
      <c r="B130" t="s">
        <v>101</v>
      </c>
      <c r="C130">
        <v>40</v>
      </c>
      <c r="D130">
        <v>20</v>
      </c>
      <c r="E130">
        <v>4</v>
      </c>
      <c r="F130">
        <v>3</v>
      </c>
      <c r="G130">
        <v>200</v>
      </c>
      <c r="H130">
        <v>0</v>
      </c>
      <c r="I130">
        <v>0</v>
      </c>
      <c r="J130">
        <v>0</v>
      </c>
      <c r="K130">
        <v>0</v>
      </c>
    </row>
    <row r="131" spans="1:11" x14ac:dyDescent="0.3">
      <c r="A131" t="s">
        <v>266</v>
      </c>
      <c r="B131" t="s">
        <v>60</v>
      </c>
      <c r="C131">
        <v>0</v>
      </c>
      <c r="D131">
        <v>0</v>
      </c>
      <c r="E131">
        <v>0</v>
      </c>
      <c r="F131">
        <v>0</v>
      </c>
      <c r="G131">
        <v>0</v>
      </c>
      <c r="H131">
        <v>4</v>
      </c>
      <c r="I131">
        <v>22</v>
      </c>
      <c r="J131">
        <v>3</v>
      </c>
      <c r="K131">
        <v>5.5</v>
      </c>
    </row>
    <row r="132" spans="1:11" x14ac:dyDescent="0.3">
      <c r="A132" t="s">
        <v>267</v>
      </c>
      <c r="B132" t="s">
        <v>66</v>
      </c>
      <c r="C132">
        <v>0</v>
      </c>
      <c r="D132">
        <v>0</v>
      </c>
      <c r="E132">
        <v>0</v>
      </c>
      <c r="F132">
        <v>0</v>
      </c>
      <c r="G132">
        <v>0</v>
      </c>
      <c r="H132">
        <v>4</v>
      </c>
      <c r="I132">
        <v>15</v>
      </c>
      <c r="J132">
        <v>2</v>
      </c>
      <c r="K132">
        <v>3.75</v>
      </c>
    </row>
    <row r="133" spans="1:11" x14ac:dyDescent="0.3">
      <c r="A133" t="s">
        <v>268</v>
      </c>
      <c r="B133" t="s">
        <v>85</v>
      </c>
      <c r="C133">
        <v>65</v>
      </c>
      <c r="D133">
        <v>40</v>
      </c>
      <c r="E133">
        <v>6</v>
      </c>
      <c r="F133">
        <v>3</v>
      </c>
      <c r="G133">
        <v>162.5</v>
      </c>
      <c r="H133">
        <v>0</v>
      </c>
      <c r="I133">
        <v>0</v>
      </c>
      <c r="J133">
        <v>0</v>
      </c>
      <c r="K133">
        <v>0</v>
      </c>
    </row>
    <row r="134" spans="1:11" x14ac:dyDescent="0.3">
      <c r="A134" t="s">
        <v>269</v>
      </c>
      <c r="B134" t="s">
        <v>36</v>
      </c>
      <c r="C134">
        <v>55</v>
      </c>
      <c r="D134">
        <v>35</v>
      </c>
      <c r="E134">
        <v>5</v>
      </c>
      <c r="F134">
        <v>2</v>
      </c>
      <c r="G134">
        <v>157.13999999999999</v>
      </c>
      <c r="H134">
        <v>0</v>
      </c>
      <c r="I134">
        <v>0</v>
      </c>
      <c r="J134">
        <v>0</v>
      </c>
      <c r="K134">
        <v>0</v>
      </c>
    </row>
    <row r="135" spans="1:11" x14ac:dyDescent="0.3">
      <c r="A135" t="s">
        <v>270</v>
      </c>
      <c r="B135" t="s">
        <v>42</v>
      </c>
      <c r="C135">
        <v>85</v>
      </c>
      <c r="D135">
        <v>50</v>
      </c>
      <c r="E135">
        <v>8</v>
      </c>
      <c r="F135">
        <v>3</v>
      </c>
      <c r="G135">
        <v>170</v>
      </c>
      <c r="H135">
        <v>0</v>
      </c>
      <c r="I135">
        <v>0</v>
      </c>
      <c r="J135">
        <v>0</v>
      </c>
      <c r="K135">
        <v>0</v>
      </c>
    </row>
    <row r="136" spans="1:11" x14ac:dyDescent="0.3">
      <c r="A136" t="s">
        <v>271</v>
      </c>
      <c r="B136" t="s">
        <v>8</v>
      </c>
      <c r="C136">
        <v>70</v>
      </c>
      <c r="D136">
        <v>45</v>
      </c>
      <c r="E136">
        <v>7</v>
      </c>
      <c r="F136">
        <v>3</v>
      </c>
      <c r="G136">
        <v>155.56</v>
      </c>
      <c r="H136">
        <v>0</v>
      </c>
      <c r="I136">
        <v>0</v>
      </c>
      <c r="J136">
        <v>0</v>
      </c>
      <c r="K136">
        <v>0</v>
      </c>
    </row>
    <row r="137" spans="1:11" x14ac:dyDescent="0.3">
      <c r="A137" t="s">
        <v>272</v>
      </c>
      <c r="B137" t="s">
        <v>96</v>
      </c>
      <c r="C137">
        <v>55</v>
      </c>
      <c r="D137">
        <v>35</v>
      </c>
      <c r="E137">
        <v>5</v>
      </c>
      <c r="F137">
        <v>2</v>
      </c>
      <c r="G137">
        <v>157.13999999999999</v>
      </c>
      <c r="H137">
        <v>0</v>
      </c>
      <c r="I137">
        <v>0</v>
      </c>
      <c r="J137">
        <v>0</v>
      </c>
      <c r="K137">
        <v>0</v>
      </c>
    </row>
    <row r="138" spans="1:11" x14ac:dyDescent="0.3">
      <c r="A138" t="s">
        <v>273</v>
      </c>
      <c r="B138" t="s">
        <v>88</v>
      </c>
      <c r="C138">
        <v>0</v>
      </c>
      <c r="D138">
        <v>0</v>
      </c>
      <c r="E138">
        <v>0</v>
      </c>
      <c r="F138">
        <v>0</v>
      </c>
      <c r="G138">
        <v>0</v>
      </c>
      <c r="H138">
        <v>4</v>
      </c>
      <c r="I138">
        <v>28</v>
      </c>
      <c r="J138">
        <v>3</v>
      </c>
      <c r="K138">
        <v>7</v>
      </c>
    </row>
    <row r="139" spans="1:11" x14ac:dyDescent="0.3">
      <c r="A139" t="s">
        <v>274</v>
      </c>
      <c r="B139" t="s">
        <v>15</v>
      </c>
      <c r="C139">
        <v>0</v>
      </c>
      <c r="D139">
        <v>0</v>
      </c>
      <c r="E139">
        <v>0</v>
      </c>
      <c r="F139">
        <v>0</v>
      </c>
      <c r="G139">
        <v>0</v>
      </c>
      <c r="H139">
        <v>4</v>
      </c>
      <c r="I139">
        <v>25</v>
      </c>
      <c r="J139">
        <v>2</v>
      </c>
      <c r="K139">
        <v>6.25</v>
      </c>
    </row>
    <row r="140" spans="1:11" x14ac:dyDescent="0.3">
      <c r="A140" t="s">
        <v>275</v>
      </c>
      <c r="B140" t="s">
        <v>99</v>
      </c>
      <c r="C140">
        <v>0</v>
      </c>
      <c r="D140">
        <v>0</v>
      </c>
      <c r="E140">
        <v>0</v>
      </c>
      <c r="F140">
        <v>0</v>
      </c>
      <c r="G140">
        <v>0</v>
      </c>
      <c r="H140">
        <v>4</v>
      </c>
      <c r="I140">
        <v>35</v>
      </c>
      <c r="J140">
        <v>1</v>
      </c>
      <c r="K140">
        <v>8.75</v>
      </c>
    </row>
    <row r="141" spans="1:11" x14ac:dyDescent="0.3">
      <c r="A141" t="s">
        <v>276</v>
      </c>
      <c r="B141" t="s">
        <v>42</v>
      </c>
      <c r="C141">
        <v>90</v>
      </c>
      <c r="D141">
        <v>55</v>
      </c>
      <c r="E141">
        <v>9</v>
      </c>
      <c r="F141">
        <v>3</v>
      </c>
      <c r="G141">
        <v>163.63999999999999</v>
      </c>
      <c r="H141">
        <v>0</v>
      </c>
      <c r="I141">
        <v>0</v>
      </c>
      <c r="J141">
        <v>0</v>
      </c>
      <c r="K141">
        <v>0</v>
      </c>
    </row>
    <row r="142" spans="1:11" x14ac:dyDescent="0.3">
      <c r="A142" t="s">
        <v>277</v>
      </c>
      <c r="B142" t="s">
        <v>19</v>
      </c>
      <c r="C142">
        <v>45</v>
      </c>
      <c r="D142">
        <v>30</v>
      </c>
      <c r="E142">
        <v>4</v>
      </c>
      <c r="F142">
        <v>2</v>
      </c>
      <c r="G142">
        <v>150</v>
      </c>
      <c r="H142">
        <v>0</v>
      </c>
      <c r="I142">
        <v>0</v>
      </c>
      <c r="J142">
        <v>0</v>
      </c>
      <c r="K142">
        <v>0</v>
      </c>
    </row>
    <row r="143" spans="1:11" x14ac:dyDescent="0.3">
      <c r="A143" t="s">
        <v>278</v>
      </c>
      <c r="B143" t="s">
        <v>24</v>
      </c>
      <c r="C143">
        <v>50</v>
      </c>
      <c r="D143">
        <v>30</v>
      </c>
      <c r="E143">
        <v>5</v>
      </c>
      <c r="F143">
        <v>2</v>
      </c>
      <c r="G143">
        <v>166.67</v>
      </c>
      <c r="H143">
        <v>0</v>
      </c>
      <c r="I143">
        <v>0</v>
      </c>
      <c r="J143">
        <v>0</v>
      </c>
      <c r="K143">
        <v>0</v>
      </c>
    </row>
    <row r="144" spans="1:11" x14ac:dyDescent="0.3">
      <c r="A144" t="s">
        <v>279</v>
      </c>
      <c r="B144" t="s">
        <v>71</v>
      </c>
      <c r="C144">
        <v>0</v>
      </c>
      <c r="D144">
        <v>0</v>
      </c>
      <c r="E144">
        <v>0</v>
      </c>
      <c r="F144">
        <v>0</v>
      </c>
      <c r="G144">
        <v>0</v>
      </c>
      <c r="H144">
        <v>4</v>
      </c>
      <c r="I144">
        <v>20</v>
      </c>
      <c r="J144">
        <v>3</v>
      </c>
      <c r="K144">
        <v>5</v>
      </c>
    </row>
    <row r="145" spans="1:11" x14ac:dyDescent="0.3">
      <c r="A145" t="s">
        <v>280</v>
      </c>
      <c r="B145" t="s">
        <v>93</v>
      </c>
      <c r="C145">
        <v>0</v>
      </c>
      <c r="D145">
        <v>0</v>
      </c>
      <c r="E145">
        <v>0</v>
      </c>
      <c r="F145">
        <v>0</v>
      </c>
      <c r="G145">
        <v>0</v>
      </c>
      <c r="H145">
        <v>4</v>
      </c>
      <c r="I145">
        <v>22</v>
      </c>
      <c r="J145">
        <v>2</v>
      </c>
      <c r="K145">
        <v>5.5</v>
      </c>
    </row>
    <row r="146" spans="1:11" x14ac:dyDescent="0.3">
      <c r="A146" t="s">
        <v>281</v>
      </c>
      <c r="B146" t="s">
        <v>55</v>
      </c>
      <c r="C146">
        <v>80</v>
      </c>
      <c r="D146">
        <v>40</v>
      </c>
      <c r="E146">
        <v>8</v>
      </c>
      <c r="F146">
        <v>4</v>
      </c>
      <c r="G146">
        <v>200</v>
      </c>
      <c r="H146">
        <v>4</v>
      </c>
      <c r="I146">
        <v>30</v>
      </c>
      <c r="J146">
        <v>1</v>
      </c>
      <c r="K146">
        <v>7.5</v>
      </c>
    </row>
    <row r="147" spans="1:11" x14ac:dyDescent="0.3">
      <c r="A147" t="s">
        <v>282</v>
      </c>
      <c r="B147" t="s">
        <v>101</v>
      </c>
      <c r="C147">
        <v>65</v>
      </c>
      <c r="D147">
        <v>35</v>
      </c>
      <c r="E147">
        <v>6</v>
      </c>
      <c r="F147">
        <v>4</v>
      </c>
      <c r="G147">
        <v>185.71</v>
      </c>
      <c r="H147">
        <v>0</v>
      </c>
      <c r="I147">
        <v>0</v>
      </c>
      <c r="J147">
        <v>0</v>
      </c>
      <c r="K147">
        <v>0</v>
      </c>
    </row>
    <row r="148" spans="1:11" x14ac:dyDescent="0.3">
      <c r="A148" t="s">
        <v>283</v>
      </c>
      <c r="B148" t="s">
        <v>27</v>
      </c>
      <c r="C148">
        <v>40</v>
      </c>
      <c r="D148">
        <v>25</v>
      </c>
      <c r="E148">
        <v>3</v>
      </c>
      <c r="F148">
        <v>2</v>
      </c>
      <c r="G148">
        <v>160</v>
      </c>
      <c r="H148">
        <v>4</v>
      </c>
      <c r="I148">
        <v>30</v>
      </c>
      <c r="J148">
        <v>2</v>
      </c>
      <c r="K148">
        <v>7.5</v>
      </c>
    </row>
    <row r="149" spans="1:11" x14ac:dyDescent="0.3">
      <c r="A149" t="s">
        <v>284</v>
      </c>
      <c r="B149" t="s">
        <v>80</v>
      </c>
      <c r="C149">
        <v>0</v>
      </c>
      <c r="D149">
        <v>0</v>
      </c>
      <c r="E149">
        <v>0</v>
      </c>
      <c r="F149">
        <v>0</v>
      </c>
      <c r="G149">
        <v>0</v>
      </c>
      <c r="H149">
        <v>3.5</v>
      </c>
      <c r="I149">
        <v>15</v>
      </c>
      <c r="J149">
        <v>3</v>
      </c>
      <c r="K149">
        <v>3.86</v>
      </c>
    </row>
    <row r="150" spans="1:11" x14ac:dyDescent="0.3">
      <c r="A150" t="s">
        <v>285</v>
      </c>
      <c r="B150" t="s">
        <v>69</v>
      </c>
      <c r="C150">
        <v>55</v>
      </c>
      <c r="D150">
        <v>30</v>
      </c>
      <c r="E150">
        <v>5</v>
      </c>
      <c r="F150">
        <v>3</v>
      </c>
      <c r="G150">
        <v>183.33</v>
      </c>
      <c r="H150">
        <v>0</v>
      </c>
      <c r="I150">
        <v>0</v>
      </c>
      <c r="J150">
        <v>0</v>
      </c>
      <c r="K150">
        <v>0</v>
      </c>
    </row>
    <row r="151" spans="1:11" x14ac:dyDescent="0.3">
      <c r="A151" t="s">
        <v>286</v>
      </c>
      <c r="B151" t="s">
        <v>42</v>
      </c>
      <c r="C151">
        <v>70</v>
      </c>
      <c r="D151">
        <v>40</v>
      </c>
      <c r="E151">
        <v>7</v>
      </c>
      <c r="F151">
        <v>3</v>
      </c>
      <c r="G151">
        <v>175</v>
      </c>
      <c r="H151">
        <v>0</v>
      </c>
      <c r="I151">
        <v>0</v>
      </c>
      <c r="J151">
        <v>0</v>
      </c>
      <c r="K151">
        <v>0</v>
      </c>
    </row>
    <row r="152" spans="1:11" x14ac:dyDescent="0.3">
      <c r="A152" t="s">
        <v>287</v>
      </c>
      <c r="B152" t="s">
        <v>83</v>
      </c>
      <c r="C152">
        <v>60</v>
      </c>
      <c r="D152">
        <v>40</v>
      </c>
      <c r="E152">
        <v>6</v>
      </c>
      <c r="F152">
        <v>2</v>
      </c>
      <c r="G152">
        <v>150</v>
      </c>
      <c r="H152">
        <v>0</v>
      </c>
      <c r="I152">
        <v>0</v>
      </c>
      <c r="J152">
        <v>0</v>
      </c>
      <c r="K152">
        <v>0</v>
      </c>
    </row>
    <row r="153" spans="1:11" x14ac:dyDescent="0.3">
      <c r="A153" t="s">
        <v>288</v>
      </c>
      <c r="B153" t="s">
        <v>96</v>
      </c>
      <c r="C153">
        <v>80</v>
      </c>
      <c r="D153">
        <v>45</v>
      </c>
      <c r="E153">
        <v>8</v>
      </c>
      <c r="F153">
        <v>3</v>
      </c>
      <c r="G153">
        <v>177.78</v>
      </c>
      <c r="H153">
        <v>0</v>
      </c>
      <c r="I153">
        <v>0</v>
      </c>
      <c r="J153">
        <v>0</v>
      </c>
      <c r="K153">
        <v>0</v>
      </c>
    </row>
    <row r="154" spans="1:11" x14ac:dyDescent="0.3">
      <c r="A154" t="s">
        <v>289</v>
      </c>
      <c r="B154" t="s">
        <v>15</v>
      </c>
      <c r="C154">
        <v>0</v>
      </c>
      <c r="D154">
        <v>0</v>
      </c>
      <c r="E154">
        <v>0</v>
      </c>
      <c r="F154">
        <v>0</v>
      </c>
      <c r="G154">
        <v>0</v>
      </c>
      <c r="H154">
        <v>4</v>
      </c>
      <c r="I154">
        <v>28</v>
      </c>
      <c r="J154">
        <v>3</v>
      </c>
      <c r="K154">
        <v>7</v>
      </c>
    </row>
    <row r="155" spans="1:11" x14ac:dyDescent="0.3">
      <c r="A155" t="s">
        <v>290</v>
      </c>
      <c r="B155" t="s">
        <v>45</v>
      </c>
      <c r="C155">
        <v>0</v>
      </c>
      <c r="D155">
        <v>0</v>
      </c>
      <c r="E155">
        <v>0</v>
      </c>
      <c r="F155">
        <v>0</v>
      </c>
      <c r="G155">
        <v>0</v>
      </c>
      <c r="H155">
        <v>4</v>
      </c>
      <c r="I155">
        <v>30</v>
      </c>
      <c r="J155">
        <v>2</v>
      </c>
      <c r="K155">
        <v>7.5</v>
      </c>
    </row>
    <row r="156" spans="1:11" x14ac:dyDescent="0.3">
      <c r="A156" t="s">
        <v>291</v>
      </c>
      <c r="B156" t="s">
        <v>19</v>
      </c>
      <c r="C156">
        <v>50</v>
      </c>
      <c r="D156">
        <v>35</v>
      </c>
      <c r="E156">
        <v>5</v>
      </c>
      <c r="F156">
        <v>2</v>
      </c>
      <c r="G156">
        <v>142.86000000000001</v>
      </c>
      <c r="H156">
        <v>0</v>
      </c>
      <c r="I156">
        <v>0</v>
      </c>
      <c r="J156">
        <v>0</v>
      </c>
      <c r="K156">
        <v>0</v>
      </c>
    </row>
    <row r="157" spans="1:11" x14ac:dyDescent="0.3">
      <c r="A157" t="s">
        <v>292</v>
      </c>
      <c r="B157" t="s">
        <v>103</v>
      </c>
      <c r="C157">
        <v>60</v>
      </c>
      <c r="D157">
        <v>40</v>
      </c>
      <c r="E157">
        <v>6</v>
      </c>
      <c r="F157">
        <v>2</v>
      </c>
      <c r="G157">
        <v>150</v>
      </c>
      <c r="H157">
        <v>0</v>
      </c>
      <c r="I157">
        <v>0</v>
      </c>
      <c r="J157">
        <v>0</v>
      </c>
      <c r="K157">
        <v>0</v>
      </c>
    </row>
    <row r="158" spans="1:11" x14ac:dyDescent="0.3">
      <c r="A158" t="s">
        <v>293</v>
      </c>
      <c r="B158" t="s">
        <v>52</v>
      </c>
      <c r="C158">
        <v>50</v>
      </c>
      <c r="D158">
        <v>30</v>
      </c>
      <c r="E158">
        <v>5</v>
      </c>
      <c r="F158">
        <v>2</v>
      </c>
      <c r="G158">
        <v>166.67</v>
      </c>
      <c r="H158">
        <v>0</v>
      </c>
      <c r="I158">
        <v>0</v>
      </c>
      <c r="J158">
        <v>0</v>
      </c>
      <c r="K158">
        <v>0</v>
      </c>
    </row>
    <row r="159" spans="1:11" x14ac:dyDescent="0.3">
      <c r="A159" t="s">
        <v>294</v>
      </c>
      <c r="B159" t="s">
        <v>30</v>
      </c>
      <c r="C159">
        <v>70</v>
      </c>
      <c r="D159">
        <v>40</v>
      </c>
      <c r="E159">
        <v>7</v>
      </c>
      <c r="F159">
        <v>3</v>
      </c>
      <c r="G159">
        <v>175</v>
      </c>
      <c r="H159">
        <v>0</v>
      </c>
      <c r="I159">
        <v>0</v>
      </c>
      <c r="J159">
        <v>0</v>
      </c>
      <c r="K159">
        <v>0</v>
      </c>
    </row>
    <row r="160" spans="1:11" x14ac:dyDescent="0.3">
      <c r="A160" t="s">
        <v>295</v>
      </c>
      <c r="B160" t="s">
        <v>74</v>
      </c>
      <c r="C160">
        <v>55</v>
      </c>
      <c r="D160">
        <v>35</v>
      </c>
      <c r="E160">
        <v>5</v>
      </c>
      <c r="F160">
        <v>2</v>
      </c>
      <c r="G160">
        <v>157.13999999999999</v>
      </c>
      <c r="H160">
        <v>0</v>
      </c>
      <c r="I160">
        <v>0</v>
      </c>
      <c r="J160">
        <v>0</v>
      </c>
      <c r="K160">
        <v>0</v>
      </c>
    </row>
    <row r="161" spans="1:11" x14ac:dyDescent="0.3">
      <c r="A161" t="s">
        <v>296</v>
      </c>
      <c r="B161" t="s">
        <v>55</v>
      </c>
      <c r="C161">
        <v>60</v>
      </c>
      <c r="D161">
        <v>30</v>
      </c>
      <c r="E161">
        <v>6</v>
      </c>
      <c r="F161">
        <v>4</v>
      </c>
      <c r="G161">
        <v>200</v>
      </c>
      <c r="H161">
        <v>4</v>
      </c>
      <c r="I161">
        <v>40</v>
      </c>
      <c r="J161">
        <v>1</v>
      </c>
      <c r="K161">
        <v>10</v>
      </c>
    </row>
    <row r="162" spans="1:11" x14ac:dyDescent="0.3">
      <c r="A162" t="s">
        <v>297</v>
      </c>
      <c r="B162" t="s">
        <v>88</v>
      </c>
      <c r="C162">
        <v>0</v>
      </c>
      <c r="D162">
        <v>0</v>
      </c>
      <c r="E162">
        <v>0</v>
      </c>
      <c r="F162">
        <v>0</v>
      </c>
      <c r="G162">
        <v>0</v>
      </c>
      <c r="H162">
        <v>4</v>
      </c>
      <c r="I162">
        <v>32</v>
      </c>
      <c r="J162">
        <v>2</v>
      </c>
      <c r="K162">
        <v>8</v>
      </c>
    </row>
    <row r="163" spans="1:11" x14ac:dyDescent="0.3">
      <c r="A163" t="s">
        <v>298</v>
      </c>
      <c r="B163" t="s">
        <v>74</v>
      </c>
      <c r="C163">
        <v>85</v>
      </c>
      <c r="D163">
        <v>45</v>
      </c>
      <c r="E163">
        <v>8</v>
      </c>
      <c r="F163">
        <v>4</v>
      </c>
      <c r="G163">
        <v>188.89</v>
      </c>
      <c r="H163">
        <v>0</v>
      </c>
      <c r="I163">
        <v>0</v>
      </c>
      <c r="J163">
        <v>0</v>
      </c>
      <c r="K163">
        <v>0</v>
      </c>
    </row>
    <row r="164" spans="1:11" x14ac:dyDescent="0.3">
      <c r="A164" t="s">
        <v>299</v>
      </c>
      <c r="B164" t="s">
        <v>15</v>
      </c>
      <c r="C164">
        <v>0</v>
      </c>
      <c r="D164">
        <v>0</v>
      </c>
      <c r="E164">
        <v>0</v>
      </c>
      <c r="F164">
        <v>0</v>
      </c>
      <c r="G164">
        <v>0</v>
      </c>
      <c r="H164">
        <v>4</v>
      </c>
      <c r="I164">
        <v>25</v>
      </c>
      <c r="J164">
        <v>3</v>
      </c>
      <c r="K164">
        <v>6.25</v>
      </c>
    </row>
    <row r="165" spans="1:11" x14ac:dyDescent="0.3">
      <c r="A165" t="s">
        <v>300</v>
      </c>
      <c r="B165" t="s">
        <v>83</v>
      </c>
      <c r="C165">
        <v>75</v>
      </c>
      <c r="D165">
        <v>40</v>
      </c>
      <c r="E165">
        <v>7</v>
      </c>
      <c r="F165">
        <v>3</v>
      </c>
      <c r="G165">
        <v>187.5</v>
      </c>
      <c r="H165">
        <v>0</v>
      </c>
      <c r="I165">
        <v>0</v>
      </c>
      <c r="J165">
        <v>0</v>
      </c>
      <c r="K165">
        <v>0</v>
      </c>
    </row>
    <row r="166" spans="1:11" x14ac:dyDescent="0.3">
      <c r="A166" t="s">
        <v>301</v>
      </c>
      <c r="B166" t="s">
        <v>42</v>
      </c>
      <c r="C166">
        <v>50</v>
      </c>
      <c r="D166">
        <v>30</v>
      </c>
      <c r="E166">
        <v>5</v>
      </c>
      <c r="F166">
        <v>2</v>
      </c>
      <c r="G166">
        <v>166.67</v>
      </c>
      <c r="H166">
        <v>0</v>
      </c>
      <c r="I166">
        <v>0</v>
      </c>
      <c r="J166">
        <v>0</v>
      </c>
      <c r="K166">
        <v>0</v>
      </c>
    </row>
    <row r="167" spans="1:11" x14ac:dyDescent="0.3">
      <c r="A167" t="s">
        <v>302</v>
      </c>
      <c r="B167" t="s">
        <v>58</v>
      </c>
      <c r="C167">
        <v>30</v>
      </c>
      <c r="D167">
        <v>15</v>
      </c>
      <c r="E167">
        <v>3</v>
      </c>
      <c r="F167">
        <v>2</v>
      </c>
      <c r="G167">
        <v>200</v>
      </c>
      <c r="H167">
        <v>4</v>
      </c>
      <c r="I167">
        <v>28</v>
      </c>
      <c r="J167">
        <v>2</v>
      </c>
      <c r="K167">
        <v>7</v>
      </c>
    </row>
    <row r="168" spans="1:11" x14ac:dyDescent="0.3">
      <c r="A168" t="s">
        <v>303</v>
      </c>
      <c r="B168" t="s">
        <v>71</v>
      </c>
      <c r="C168">
        <v>0</v>
      </c>
      <c r="D168">
        <v>0</v>
      </c>
      <c r="E168">
        <v>0</v>
      </c>
      <c r="F168">
        <v>0</v>
      </c>
      <c r="G168">
        <v>0</v>
      </c>
      <c r="H168">
        <v>4</v>
      </c>
      <c r="I168">
        <v>22</v>
      </c>
      <c r="J168">
        <v>2</v>
      </c>
      <c r="K168">
        <v>5.5</v>
      </c>
    </row>
    <row r="169" spans="1:11" x14ac:dyDescent="0.3">
      <c r="A169" t="s">
        <v>304</v>
      </c>
      <c r="B169" t="s">
        <v>33</v>
      </c>
      <c r="C169">
        <v>0</v>
      </c>
      <c r="D169">
        <v>0</v>
      </c>
      <c r="E169">
        <v>0</v>
      </c>
      <c r="F169">
        <v>0</v>
      </c>
      <c r="G169">
        <v>0</v>
      </c>
      <c r="H169">
        <v>4</v>
      </c>
      <c r="I169">
        <v>30</v>
      </c>
      <c r="J169">
        <v>2</v>
      </c>
      <c r="K169">
        <v>7.5</v>
      </c>
    </row>
    <row r="170" spans="1:11" x14ac:dyDescent="0.3">
      <c r="A170" t="s">
        <v>305</v>
      </c>
      <c r="B170" t="s">
        <v>85</v>
      </c>
      <c r="C170">
        <v>45</v>
      </c>
      <c r="D170">
        <v>30</v>
      </c>
      <c r="E170">
        <v>4</v>
      </c>
      <c r="F170">
        <v>2</v>
      </c>
      <c r="G170">
        <v>150</v>
      </c>
      <c r="H170">
        <v>0</v>
      </c>
      <c r="I170">
        <v>0</v>
      </c>
      <c r="J170">
        <v>0</v>
      </c>
      <c r="K170">
        <v>0</v>
      </c>
    </row>
    <row r="171" spans="1:11" x14ac:dyDescent="0.3">
      <c r="A171" t="s">
        <v>306</v>
      </c>
      <c r="B171" t="s">
        <v>101</v>
      </c>
      <c r="C171">
        <v>75</v>
      </c>
      <c r="D171">
        <v>40</v>
      </c>
      <c r="E171">
        <v>7</v>
      </c>
      <c r="F171">
        <v>4</v>
      </c>
      <c r="G171">
        <v>187.5</v>
      </c>
      <c r="H171">
        <v>0</v>
      </c>
      <c r="I171">
        <v>0</v>
      </c>
      <c r="J171">
        <v>0</v>
      </c>
      <c r="K171">
        <v>0</v>
      </c>
    </row>
    <row r="172" spans="1:11" x14ac:dyDescent="0.3">
      <c r="A172" t="s">
        <v>307</v>
      </c>
      <c r="B172" t="s">
        <v>27</v>
      </c>
      <c r="C172">
        <v>50</v>
      </c>
      <c r="D172">
        <v>30</v>
      </c>
      <c r="E172">
        <v>5</v>
      </c>
      <c r="F172">
        <v>2</v>
      </c>
      <c r="G172">
        <v>166.67</v>
      </c>
      <c r="H172">
        <v>4</v>
      </c>
      <c r="I172">
        <v>35</v>
      </c>
      <c r="J172">
        <v>1</v>
      </c>
      <c r="K172">
        <v>8.75</v>
      </c>
    </row>
    <row r="173" spans="1:11" x14ac:dyDescent="0.3">
      <c r="A173" t="s">
        <v>308</v>
      </c>
      <c r="B173" t="s">
        <v>80</v>
      </c>
      <c r="C173">
        <v>0</v>
      </c>
      <c r="D173">
        <v>0</v>
      </c>
      <c r="E173">
        <v>0</v>
      </c>
      <c r="F173">
        <v>0</v>
      </c>
      <c r="G173">
        <v>0</v>
      </c>
      <c r="H173">
        <v>4</v>
      </c>
      <c r="I173">
        <v>22</v>
      </c>
      <c r="J173">
        <v>3</v>
      </c>
      <c r="K173">
        <v>5.5</v>
      </c>
    </row>
    <row r="174" spans="1:11" x14ac:dyDescent="0.3">
      <c r="A174" t="s">
        <v>309</v>
      </c>
      <c r="B174" t="s">
        <v>103</v>
      </c>
      <c r="C174">
        <v>40</v>
      </c>
      <c r="D174">
        <v>25</v>
      </c>
      <c r="E174">
        <v>4</v>
      </c>
      <c r="F174">
        <v>1</v>
      </c>
      <c r="G174">
        <v>160</v>
      </c>
      <c r="H174">
        <v>0</v>
      </c>
      <c r="I174">
        <v>0</v>
      </c>
      <c r="J174">
        <v>0</v>
      </c>
      <c r="K174">
        <v>0</v>
      </c>
    </row>
    <row r="175" spans="1:11" x14ac:dyDescent="0.3">
      <c r="A175" t="s">
        <v>310</v>
      </c>
      <c r="B175" t="s">
        <v>42</v>
      </c>
      <c r="C175">
        <v>70</v>
      </c>
      <c r="D175">
        <v>45</v>
      </c>
      <c r="E175">
        <v>7</v>
      </c>
      <c r="F175">
        <v>2</v>
      </c>
      <c r="G175">
        <v>155.56</v>
      </c>
      <c r="H175">
        <v>0</v>
      </c>
      <c r="I175">
        <v>0</v>
      </c>
      <c r="J175">
        <v>0</v>
      </c>
      <c r="K175">
        <v>0</v>
      </c>
    </row>
    <row r="176" spans="1:11" x14ac:dyDescent="0.3">
      <c r="A176" t="s">
        <v>311</v>
      </c>
      <c r="B176" t="s">
        <v>58</v>
      </c>
      <c r="C176">
        <v>20</v>
      </c>
      <c r="D176">
        <v>10</v>
      </c>
      <c r="E176">
        <v>2</v>
      </c>
      <c r="F176">
        <v>1</v>
      </c>
      <c r="G176">
        <v>200</v>
      </c>
      <c r="H176">
        <v>4</v>
      </c>
      <c r="I176">
        <v>25</v>
      </c>
      <c r="J176">
        <v>3</v>
      </c>
      <c r="K176">
        <v>6.25</v>
      </c>
    </row>
    <row r="177" spans="1:11" x14ac:dyDescent="0.3">
      <c r="A177" t="s">
        <v>312</v>
      </c>
      <c r="B177" t="s">
        <v>69</v>
      </c>
      <c r="C177">
        <v>60</v>
      </c>
      <c r="D177">
        <v>35</v>
      </c>
      <c r="E177">
        <v>6</v>
      </c>
      <c r="F177">
        <v>3</v>
      </c>
      <c r="G177">
        <v>171.43</v>
      </c>
      <c r="H177">
        <v>0</v>
      </c>
      <c r="I177">
        <v>0</v>
      </c>
      <c r="J177">
        <v>0</v>
      </c>
      <c r="K177">
        <v>0</v>
      </c>
    </row>
    <row r="178" spans="1:11" x14ac:dyDescent="0.3">
      <c r="A178" t="s">
        <v>313</v>
      </c>
      <c r="B178" t="s">
        <v>66</v>
      </c>
      <c r="C178">
        <v>0</v>
      </c>
      <c r="D178">
        <v>0</v>
      </c>
      <c r="E178">
        <v>0</v>
      </c>
      <c r="F178">
        <v>0</v>
      </c>
      <c r="G178">
        <v>0</v>
      </c>
      <c r="H178">
        <v>4</v>
      </c>
      <c r="I178">
        <v>18</v>
      </c>
      <c r="J178">
        <v>3</v>
      </c>
      <c r="K178">
        <v>4.5</v>
      </c>
    </row>
    <row r="179" spans="1:11" x14ac:dyDescent="0.3">
      <c r="A179" t="s">
        <v>314</v>
      </c>
      <c r="B179" t="s">
        <v>30</v>
      </c>
      <c r="C179">
        <v>80</v>
      </c>
      <c r="D179">
        <v>45</v>
      </c>
      <c r="E179">
        <v>8</v>
      </c>
      <c r="F179">
        <v>4</v>
      </c>
      <c r="G179">
        <v>177.78</v>
      </c>
      <c r="H179">
        <v>0</v>
      </c>
      <c r="I179">
        <v>0</v>
      </c>
      <c r="J179">
        <v>0</v>
      </c>
      <c r="K179">
        <v>0</v>
      </c>
    </row>
    <row r="180" spans="1:11" x14ac:dyDescent="0.3">
      <c r="A180" t="s">
        <v>315</v>
      </c>
      <c r="B180" t="s">
        <v>78</v>
      </c>
      <c r="C180">
        <v>0</v>
      </c>
      <c r="D180">
        <v>0</v>
      </c>
      <c r="E180">
        <v>0</v>
      </c>
      <c r="F180">
        <v>0</v>
      </c>
      <c r="G180">
        <v>0</v>
      </c>
      <c r="H180">
        <v>4</v>
      </c>
      <c r="I180">
        <v>30</v>
      </c>
      <c r="J180">
        <v>2</v>
      </c>
      <c r="K180">
        <v>7.5</v>
      </c>
    </row>
    <row r="181" spans="1:11" x14ac:dyDescent="0.3">
      <c r="A181" t="s">
        <v>316</v>
      </c>
      <c r="B181" t="s">
        <v>47</v>
      </c>
      <c r="C181">
        <v>50</v>
      </c>
      <c r="D181">
        <v>25</v>
      </c>
      <c r="E181">
        <v>5</v>
      </c>
      <c r="F181">
        <v>3</v>
      </c>
      <c r="G181">
        <v>200</v>
      </c>
      <c r="H181">
        <v>0</v>
      </c>
      <c r="I181">
        <v>0</v>
      </c>
      <c r="J181">
        <v>0</v>
      </c>
      <c r="K181">
        <v>0</v>
      </c>
    </row>
    <row r="182" spans="1:11" x14ac:dyDescent="0.3">
      <c r="A182" t="s">
        <v>317</v>
      </c>
      <c r="B182" t="s">
        <v>60</v>
      </c>
      <c r="C182">
        <v>0</v>
      </c>
      <c r="D182">
        <v>0</v>
      </c>
      <c r="E182">
        <v>0</v>
      </c>
      <c r="F182">
        <v>0</v>
      </c>
      <c r="G182">
        <v>0</v>
      </c>
      <c r="H182">
        <v>4</v>
      </c>
      <c r="I182">
        <v>28</v>
      </c>
      <c r="J182">
        <v>2</v>
      </c>
      <c r="K182">
        <v>7</v>
      </c>
    </row>
    <row r="183" spans="1:11" x14ac:dyDescent="0.3">
      <c r="A183" t="s">
        <v>318</v>
      </c>
      <c r="B183" t="s">
        <v>83</v>
      </c>
      <c r="C183">
        <v>70</v>
      </c>
      <c r="D183">
        <v>40</v>
      </c>
      <c r="E183">
        <v>7</v>
      </c>
      <c r="F183">
        <v>3</v>
      </c>
      <c r="G183">
        <v>175</v>
      </c>
      <c r="H183">
        <v>0</v>
      </c>
      <c r="I183">
        <v>0</v>
      </c>
      <c r="J183">
        <v>0</v>
      </c>
      <c r="K183">
        <v>0</v>
      </c>
    </row>
    <row r="184" spans="1:11" x14ac:dyDescent="0.3">
      <c r="A184" t="s">
        <v>319</v>
      </c>
      <c r="B184" t="s">
        <v>93</v>
      </c>
      <c r="C184">
        <v>0</v>
      </c>
      <c r="D184">
        <v>0</v>
      </c>
      <c r="E184">
        <v>0</v>
      </c>
      <c r="F184">
        <v>0</v>
      </c>
      <c r="G184">
        <v>0</v>
      </c>
      <c r="H184">
        <v>4</v>
      </c>
      <c r="I184">
        <v>35</v>
      </c>
      <c r="J184">
        <v>1</v>
      </c>
      <c r="K184">
        <v>8.75</v>
      </c>
    </row>
    <row r="185" spans="1:11" x14ac:dyDescent="0.3">
      <c r="A185" t="s">
        <v>320</v>
      </c>
      <c r="B185" t="s">
        <v>96</v>
      </c>
      <c r="C185">
        <v>85</v>
      </c>
      <c r="D185">
        <v>50</v>
      </c>
      <c r="E185">
        <v>8</v>
      </c>
      <c r="F185">
        <v>4</v>
      </c>
      <c r="G185">
        <v>170</v>
      </c>
      <c r="H185">
        <v>0</v>
      </c>
      <c r="I185">
        <v>0</v>
      </c>
      <c r="J185">
        <v>0</v>
      </c>
      <c r="K185">
        <v>0</v>
      </c>
    </row>
    <row r="186" spans="1:11" x14ac:dyDescent="0.3">
      <c r="A186" t="s">
        <v>321</v>
      </c>
      <c r="B186" t="s">
        <v>15</v>
      </c>
      <c r="C186">
        <v>0</v>
      </c>
      <c r="D186">
        <v>0</v>
      </c>
      <c r="E186">
        <v>0</v>
      </c>
      <c r="F186">
        <v>0</v>
      </c>
      <c r="G186">
        <v>0</v>
      </c>
      <c r="H186">
        <v>4</v>
      </c>
      <c r="I186">
        <v>22</v>
      </c>
      <c r="J186">
        <v>3</v>
      </c>
      <c r="K186">
        <v>5.5</v>
      </c>
    </row>
    <row r="187" spans="1:11" x14ac:dyDescent="0.3">
      <c r="A187" t="s">
        <v>322</v>
      </c>
      <c r="B187" t="s">
        <v>45</v>
      </c>
      <c r="C187">
        <v>0</v>
      </c>
      <c r="D187">
        <v>0</v>
      </c>
      <c r="E187">
        <v>0</v>
      </c>
      <c r="F187">
        <v>0</v>
      </c>
      <c r="G187">
        <v>0</v>
      </c>
      <c r="H187">
        <v>4</v>
      </c>
      <c r="I187">
        <v>30</v>
      </c>
      <c r="J187">
        <v>2</v>
      </c>
      <c r="K187">
        <v>7.5</v>
      </c>
    </row>
    <row r="188" spans="1:11" x14ac:dyDescent="0.3">
      <c r="A188" t="s">
        <v>323</v>
      </c>
      <c r="B188" t="s">
        <v>19</v>
      </c>
      <c r="C188">
        <v>60</v>
      </c>
      <c r="D188">
        <v>35</v>
      </c>
      <c r="E188">
        <v>6</v>
      </c>
      <c r="F188">
        <v>2</v>
      </c>
      <c r="G188">
        <v>171.43</v>
      </c>
      <c r="H188">
        <v>0</v>
      </c>
      <c r="I188">
        <v>0</v>
      </c>
      <c r="J188">
        <v>0</v>
      </c>
      <c r="K188">
        <v>0</v>
      </c>
    </row>
    <row r="189" spans="1:11" x14ac:dyDescent="0.3">
      <c r="A189" t="s">
        <v>324</v>
      </c>
      <c r="B189" t="s">
        <v>88</v>
      </c>
      <c r="C189">
        <v>0</v>
      </c>
      <c r="D189">
        <v>0</v>
      </c>
      <c r="E189">
        <v>0</v>
      </c>
      <c r="F189">
        <v>0</v>
      </c>
      <c r="G189">
        <v>0</v>
      </c>
      <c r="H189">
        <v>4</v>
      </c>
      <c r="I189">
        <v>30</v>
      </c>
      <c r="J189">
        <v>3</v>
      </c>
      <c r="K189">
        <v>7.5</v>
      </c>
    </row>
    <row r="190" spans="1:11" x14ac:dyDescent="0.3">
      <c r="A190" t="s">
        <v>325</v>
      </c>
      <c r="B190" t="s">
        <v>8</v>
      </c>
      <c r="C190">
        <v>75</v>
      </c>
      <c r="D190">
        <v>45</v>
      </c>
      <c r="E190">
        <v>7</v>
      </c>
      <c r="F190">
        <v>3</v>
      </c>
      <c r="G190">
        <v>166.67</v>
      </c>
      <c r="H190">
        <v>0</v>
      </c>
      <c r="I190">
        <v>0</v>
      </c>
      <c r="J190">
        <v>0</v>
      </c>
      <c r="K190">
        <v>0</v>
      </c>
    </row>
    <row r="191" spans="1:11" x14ac:dyDescent="0.3">
      <c r="A191" t="s">
        <v>326</v>
      </c>
      <c r="B191" t="s">
        <v>33</v>
      </c>
      <c r="C191">
        <v>0</v>
      </c>
      <c r="D191">
        <v>0</v>
      </c>
      <c r="E191">
        <v>0</v>
      </c>
      <c r="F191">
        <v>0</v>
      </c>
      <c r="G191">
        <v>0</v>
      </c>
      <c r="H191">
        <v>4</v>
      </c>
      <c r="I191">
        <v>28</v>
      </c>
      <c r="J191">
        <v>2</v>
      </c>
      <c r="K191">
        <v>7</v>
      </c>
    </row>
    <row r="192" spans="1:11" x14ac:dyDescent="0.3">
      <c r="A192" t="s">
        <v>327</v>
      </c>
      <c r="B192" t="s">
        <v>52</v>
      </c>
      <c r="C192">
        <v>65</v>
      </c>
      <c r="D192">
        <v>40</v>
      </c>
      <c r="E192">
        <v>6</v>
      </c>
      <c r="F192">
        <v>3</v>
      </c>
      <c r="G192">
        <v>162.5</v>
      </c>
      <c r="H192">
        <v>0</v>
      </c>
      <c r="I192">
        <v>0</v>
      </c>
      <c r="J192">
        <v>0</v>
      </c>
      <c r="K192">
        <v>0</v>
      </c>
    </row>
    <row r="193" spans="1:13" x14ac:dyDescent="0.3">
      <c r="A193" t="s">
        <v>328</v>
      </c>
      <c r="B193" t="s">
        <v>74</v>
      </c>
      <c r="C193">
        <v>95</v>
      </c>
      <c r="D193">
        <v>50</v>
      </c>
      <c r="E193">
        <v>10</v>
      </c>
      <c r="F193">
        <v>4</v>
      </c>
      <c r="G193">
        <v>190</v>
      </c>
      <c r="H193">
        <v>0</v>
      </c>
      <c r="I193">
        <v>0</v>
      </c>
      <c r="J193">
        <v>0</v>
      </c>
      <c r="K193">
        <v>0</v>
      </c>
    </row>
    <row r="194" spans="1:13" x14ac:dyDescent="0.3">
      <c r="A194" t="s">
        <v>329</v>
      </c>
      <c r="B194" t="s">
        <v>80</v>
      </c>
      <c r="C194">
        <v>0</v>
      </c>
      <c r="D194">
        <v>0</v>
      </c>
      <c r="E194">
        <v>0</v>
      </c>
      <c r="F194">
        <v>0</v>
      </c>
      <c r="G194">
        <v>0</v>
      </c>
      <c r="H194">
        <v>4</v>
      </c>
      <c r="I194">
        <v>25</v>
      </c>
      <c r="J194">
        <v>2</v>
      </c>
      <c r="K194">
        <v>6.25</v>
      </c>
    </row>
    <row r="195" spans="1:13" x14ac:dyDescent="0.3">
      <c r="A195" t="s">
        <v>330</v>
      </c>
      <c r="B195" t="s">
        <v>83</v>
      </c>
      <c r="C195">
        <v>80</v>
      </c>
      <c r="D195">
        <v>45</v>
      </c>
      <c r="E195">
        <v>8</v>
      </c>
      <c r="F195">
        <v>3</v>
      </c>
      <c r="G195">
        <v>177.78</v>
      </c>
      <c r="H195">
        <v>0</v>
      </c>
      <c r="I195">
        <v>0</v>
      </c>
      <c r="J195">
        <v>0</v>
      </c>
      <c r="K195">
        <v>0</v>
      </c>
    </row>
    <row r="196" spans="1:13" x14ac:dyDescent="0.3">
      <c r="A196" t="s">
        <v>331</v>
      </c>
      <c r="B196" t="s">
        <v>42</v>
      </c>
      <c r="C196">
        <v>45</v>
      </c>
      <c r="D196">
        <v>25</v>
      </c>
      <c r="E196">
        <v>4</v>
      </c>
      <c r="F196">
        <v>2</v>
      </c>
      <c r="G196">
        <v>180</v>
      </c>
      <c r="H196">
        <v>0</v>
      </c>
      <c r="I196">
        <v>0</v>
      </c>
      <c r="J196">
        <v>0</v>
      </c>
      <c r="K196">
        <v>0</v>
      </c>
    </row>
    <row r="197" spans="1:13" x14ac:dyDescent="0.3">
      <c r="A197" t="s">
        <v>332</v>
      </c>
      <c r="B197" t="s">
        <v>58</v>
      </c>
      <c r="C197">
        <v>35</v>
      </c>
      <c r="D197">
        <v>20</v>
      </c>
      <c r="E197">
        <v>4</v>
      </c>
      <c r="F197">
        <v>2</v>
      </c>
      <c r="G197">
        <v>175</v>
      </c>
      <c r="H197">
        <v>4</v>
      </c>
      <c r="I197">
        <v>30</v>
      </c>
      <c r="J197">
        <v>2</v>
      </c>
      <c r="K197">
        <v>7.5</v>
      </c>
    </row>
    <row r="198" spans="1:13" x14ac:dyDescent="0.3">
      <c r="A198" t="s">
        <v>333</v>
      </c>
      <c r="B198" t="s">
        <v>60</v>
      </c>
      <c r="C198">
        <v>0</v>
      </c>
      <c r="D198">
        <v>0</v>
      </c>
      <c r="E198">
        <v>0</v>
      </c>
      <c r="F198">
        <v>0</v>
      </c>
      <c r="G198">
        <v>0</v>
      </c>
      <c r="H198">
        <v>4</v>
      </c>
      <c r="I198">
        <v>25</v>
      </c>
      <c r="J198">
        <v>2</v>
      </c>
      <c r="K198">
        <v>6.25</v>
      </c>
    </row>
    <row r="199" spans="1:13" x14ac:dyDescent="0.3">
      <c r="A199" t="s">
        <v>334</v>
      </c>
      <c r="B199" t="s">
        <v>30</v>
      </c>
      <c r="C199">
        <v>90</v>
      </c>
      <c r="D199">
        <v>50</v>
      </c>
      <c r="E199">
        <v>9</v>
      </c>
      <c r="F199">
        <v>4</v>
      </c>
      <c r="G199">
        <v>180</v>
      </c>
      <c r="H199">
        <v>0</v>
      </c>
      <c r="I199">
        <v>0</v>
      </c>
      <c r="J199">
        <v>0</v>
      </c>
      <c r="K199">
        <v>0</v>
      </c>
    </row>
    <row r="200" spans="1:13" x14ac:dyDescent="0.3">
      <c r="A200" t="s">
        <v>335</v>
      </c>
      <c r="B200" t="s">
        <v>36</v>
      </c>
      <c r="C200">
        <v>50</v>
      </c>
      <c r="D200">
        <v>30</v>
      </c>
      <c r="E200">
        <v>5</v>
      </c>
      <c r="F200">
        <v>2</v>
      </c>
      <c r="G200">
        <v>166.67</v>
      </c>
      <c r="H200">
        <v>0</v>
      </c>
      <c r="I200">
        <v>0</v>
      </c>
      <c r="J200">
        <v>0</v>
      </c>
      <c r="K200">
        <v>0</v>
      </c>
    </row>
    <row r="201" spans="1:13" x14ac:dyDescent="0.3">
      <c r="A201" t="s">
        <v>336</v>
      </c>
      <c r="B201" t="s">
        <v>101</v>
      </c>
      <c r="C201">
        <v>80</v>
      </c>
      <c r="D201">
        <v>45</v>
      </c>
      <c r="E201">
        <v>8</v>
      </c>
      <c r="F201">
        <v>3</v>
      </c>
      <c r="G201">
        <v>177.78</v>
      </c>
      <c r="H201">
        <v>0</v>
      </c>
      <c r="I201">
        <v>0</v>
      </c>
      <c r="J201">
        <v>0</v>
      </c>
      <c r="K201">
        <v>0</v>
      </c>
    </row>
    <row r="202" spans="1:13" x14ac:dyDescent="0.3">
      <c r="A202" t="s">
        <v>337</v>
      </c>
      <c r="B202" t="s">
        <v>103</v>
      </c>
      <c r="C202">
        <v>60</v>
      </c>
      <c r="D202">
        <v>35</v>
      </c>
      <c r="E202">
        <v>6</v>
      </c>
      <c r="F202">
        <v>3</v>
      </c>
      <c r="G202">
        <v>171.43</v>
      </c>
      <c r="H202">
        <v>0</v>
      </c>
      <c r="I202">
        <v>0</v>
      </c>
      <c r="J202">
        <v>0</v>
      </c>
      <c r="K202">
        <v>0</v>
      </c>
      <c r="M202" t="s">
        <v>338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B2E8-8FF8-4BB0-A4FB-D2F0B9BADD65}">
  <dimension ref="A3:M38"/>
  <sheetViews>
    <sheetView workbookViewId="0">
      <selection activeCell="F6" sqref="F6"/>
    </sheetView>
  </sheetViews>
  <sheetFormatPr defaultRowHeight="14.4" x14ac:dyDescent="0.3"/>
  <cols>
    <col min="1" max="1" width="29" bestFit="1" customWidth="1"/>
    <col min="2" max="3" width="10" bestFit="1" customWidth="1"/>
    <col min="4" max="4" width="9.88671875" bestFit="1" customWidth="1"/>
    <col min="5" max="5" width="12.6640625" bestFit="1" customWidth="1"/>
    <col min="9" max="9" width="29" bestFit="1" customWidth="1"/>
    <col min="10" max="11" width="9.88671875" bestFit="1" customWidth="1"/>
    <col min="12" max="12" width="13.109375" bestFit="1" customWidth="1"/>
    <col min="13" max="14" width="9.88671875" bestFit="1" customWidth="1"/>
  </cols>
  <sheetData>
    <row r="3" spans="1:13" x14ac:dyDescent="0.3">
      <c r="A3" s="11" t="s">
        <v>342</v>
      </c>
      <c r="B3" t="s">
        <v>343</v>
      </c>
      <c r="C3" t="s">
        <v>344</v>
      </c>
      <c r="D3" t="s">
        <v>345</v>
      </c>
      <c r="E3" t="s">
        <v>341</v>
      </c>
      <c r="I3" s="11" t="s">
        <v>342</v>
      </c>
      <c r="J3" t="s">
        <v>345</v>
      </c>
      <c r="L3" s="11" t="s">
        <v>350</v>
      </c>
      <c r="M3" t="s">
        <v>345</v>
      </c>
    </row>
    <row r="4" spans="1:13" x14ac:dyDescent="0.3">
      <c r="A4" s="12" t="s">
        <v>117</v>
      </c>
      <c r="B4" s="27">
        <v>8</v>
      </c>
      <c r="C4" s="14">
        <v>5</v>
      </c>
      <c r="D4" s="14">
        <v>2869</v>
      </c>
      <c r="E4" s="14">
        <v>103</v>
      </c>
      <c r="I4" s="12" t="s">
        <v>117</v>
      </c>
      <c r="J4" s="14">
        <v>2869</v>
      </c>
      <c r="L4" s="12" t="s">
        <v>348</v>
      </c>
      <c r="M4" s="14">
        <v>13297</v>
      </c>
    </row>
    <row r="5" spans="1:13" x14ac:dyDescent="0.3">
      <c r="A5" s="12" t="s">
        <v>135</v>
      </c>
      <c r="B5" s="27">
        <v>7</v>
      </c>
      <c r="C5" s="14">
        <v>2</v>
      </c>
      <c r="D5" s="14">
        <v>2420</v>
      </c>
      <c r="E5" s="14">
        <v>85</v>
      </c>
      <c r="I5" s="12" t="s">
        <v>135</v>
      </c>
      <c r="J5" s="14">
        <v>2420</v>
      </c>
      <c r="L5" s="12" t="s">
        <v>349</v>
      </c>
      <c r="M5" s="14">
        <v>7647</v>
      </c>
    </row>
    <row r="6" spans="1:13" x14ac:dyDescent="0.3">
      <c r="A6" s="12" t="s">
        <v>129</v>
      </c>
      <c r="B6" s="27">
        <v>8</v>
      </c>
      <c r="C6" s="14">
        <v>4</v>
      </c>
      <c r="D6" s="14">
        <v>2788</v>
      </c>
      <c r="E6" s="14">
        <v>107</v>
      </c>
      <c r="F6">
        <f>COUNTA(A4:A12)</f>
        <v>9</v>
      </c>
      <c r="I6" s="12" t="s">
        <v>129</v>
      </c>
      <c r="J6" s="14">
        <v>2788</v>
      </c>
      <c r="L6" s="12" t="s">
        <v>340</v>
      </c>
      <c r="M6" s="14">
        <v>20944</v>
      </c>
    </row>
    <row r="7" spans="1:13" x14ac:dyDescent="0.3">
      <c r="A7" s="12" t="s">
        <v>111</v>
      </c>
      <c r="B7" s="27">
        <v>8</v>
      </c>
      <c r="C7" s="14">
        <v>4</v>
      </c>
      <c r="D7" s="14">
        <v>2735</v>
      </c>
      <c r="E7" s="14">
        <v>110</v>
      </c>
      <c r="I7" s="12" t="s">
        <v>111</v>
      </c>
      <c r="J7" s="14">
        <v>2735</v>
      </c>
    </row>
    <row r="8" spans="1:13" x14ac:dyDescent="0.3">
      <c r="A8" s="12" t="s">
        <v>147</v>
      </c>
      <c r="B8" s="27">
        <v>7</v>
      </c>
      <c r="C8" s="14">
        <v>2</v>
      </c>
      <c r="D8" s="14">
        <v>2458</v>
      </c>
      <c r="E8" s="14">
        <v>89</v>
      </c>
      <c r="I8" s="12" t="s">
        <v>147</v>
      </c>
      <c r="J8" s="14">
        <v>2458</v>
      </c>
    </row>
    <row r="9" spans="1:13" x14ac:dyDescent="0.3">
      <c r="A9" s="12" t="s">
        <v>141</v>
      </c>
      <c r="B9" s="27">
        <v>7</v>
      </c>
      <c r="C9" s="14">
        <v>4</v>
      </c>
      <c r="D9" s="14">
        <v>2318</v>
      </c>
      <c r="E9" s="14">
        <v>105</v>
      </c>
      <c r="I9" s="12" t="s">
        <v>141</v>
      </c>
      <c r="J9" s="14">
        <v>2318</v>
      </c>
    </row>
    <row r="10" spans="1:13" x14ac:dyDescent="0.3">
      <c r="A10" s="12" t="s">
        <v>123</v>
      </c>
      <c r="B10" s="27">
        <v>7</v>
      </c>
      <c r="C10" s="14">
        <v>4</v>
      </c>
      <c r="D10" s="14">
        <v>2600</v>
      </c>
      <c r="E10" s="14">
        <v>88</v>
      </c>
      <c r="I10" s="12" t="s">
        <v>123</v>
      </c>
      <c r="J10" s="14">
        <v>2600</v>
      </c>
    </row>
    <row r="11" spans="1:13" x14ac:dyDescent="0.3">
      <c r="A11" s="12" t="s">
        <v>153</v>
      </c>
      <c r="B11" s="27">
        <v>8</v>
      </c>
      <c r="C11" s="14">
        <v>5</v>
      </c>
      <c r="D11" s="14">
        <v>2756</v>
      </c>
      <c r="E11" s="14">
        <v>112</v>
      </c>
      <c r="I11" s="12" t="s">
        <v>153</v>
      </c>
      <c r="J11" s="14">
        <v>2756</v>
      </c>
    </row>
    <row r="12" spans="1:13" x14ac:dyDescent="0.3">
      <c r="A12" s="12" t="s">
        <v>339</v>
      </c>
      <c r="B12" s="27"/>
      <c r="C12" s="14">
        <v>0</v>
      </c>
      <c r="D12" s="14"/>
      <c r="E12" s="14"/>
      <c r="I12" s="12" t="s">
        <v>340</v>
      </c>
      <c r="J12" s="14">
        <v>20944</v>
      </c>
    </row>
    <row r="13" spans="1:13" x14ac:dyDescent="0.3">
      <c r="A13" s="12" t="s">
        <v>340</v>
      </c>
      <c r="B13" s="27">
        <v>60</v>
      </c>
      <c r="C13" s="14">
        <v>0</v>
      </c>
      <c r="D13" s="14">
        <v>20944</v>
      </c>
      <c r="E13" s="14">
        <v>799</v>
      </c>
    </row>
    <row r="15" spans="1:13" x14ac:dyDescent="0.3">
      <c r="A15" s="11" t="s">
        <v>342</v>
      </c>
      <c r="B15" t="s">
        <v>344</v>
      </c>
    </row>
    <row r="16" spans="1:13" x14ac:dyDescent="0.3">
      <c r="A16" s="12" t="s">
        <v>117</v>
      </c>
      <c r="B16" s="14">
        <v>5</v>
      </c>
    </row>
    <row r="17" spans="1:2" x14ac:dyDescent="0.3">
      <c r="A17" s="12" t="s">
        <v>135</v>
      </c>
      <c r="B17" s="14">
        <v>2</v>
      </c>
    </row>
    <row r="18" spans="1:2" x14ac:dyDescent="0.3">
      <c r="A18" s="12" t="s">
        <v>129</v>
      </c>
      <c r="B18" s="14">
        <v>4</v>
      </c>
    </row>
    <row r="19" spans="1:2" x14ac:dyDescent="0.3">
      <c r="A19" s="12" t="s">
        <v>111</v>
      </c>
      <c r="B19" s="14">
        <v>4</v>
      </c>
    </row>
    <row r="20" spans="1:2" x14ac:dyDescent="0.3">
      <c r="A20" s="12" t="s">
        <v>147</v>
      </c>
      <c r="B20" s="14">
        <v>2</v>
      </c>
    </row>
    <row r="21" spans="1:2" x14ac:dyDescent="0.3">
      <c r="A21" s="12" t="s">
        <v>141</v>
      </c>
      <c r="B21" s="14">
        <v>4</v>
      </c>
    </row>
    <row r="22" spans="1:2" x14ac:dyDescent="0.3">
      <c r="A22" s="12" t="s">
        <v>123</v>
      </c>
      <c r="B22" s="14">
        <v>4</v>
      </c>
    </row>
    <row r="23" spans="1:2" x14ac:dyDescent="0.3">
      <c r="A23" s="12" t="s">
        <v>153</v>
      </c>
      <c r="B23" s="14">
        <v>5</v>
      </c>
    </row>
    <row r="24" spans="1:2" x14ac:dyDescent="0.3">
      <c r="A24" s="12" t="s">
        <v>339</v>
      </c>
      <c r="B24" s="14">
        <v>0</v>
      </c>
    </row>
    <row r="25" spans="1:2" x14ac:dyDescent="0.3">
      <c r="A25" s="12" t="s">
        <v>340</v>
      </c>
      <c r="B25" s="14">
        <v>0</v>
      </c>
    </row>
    <row r="28" spans="1:2" x14ac:dyDescent="0.3">
      <c r="A28" s="11" t="s">
        <v>342</v>
      </c>
      <c r="B28" t="s">
        <v>351</v>
      </c>
    </row>
    <row r="29" spans="1:2" x14ac:dyDescent="0.3">
      <c r="A29" s="12" t="s">
        <v>138</v>
      </c>
      <c r="B29" s="27">
        <v>8</v>
      </c>
    </row>
    <row r="30" spans="1:2" x14ac:dyDescent="0.3">
      <c r="A30" s="12" t="s">
        <v>132</v>
      </c>
      <c r="B30" s="27">
        <v>8</v>
      </c>
    </row>
    <row r="31" spans="1:2" x14ac:dyDescent="0.3">
      <c r="A31" s="12" t="s">
        <v>120</v>
      </c>
      <c r="B31" s="27">
        <v>8</v>
      </c>
    </row>
    <row r="32" spans="1:2" x14ac:dyDescent="0.3">
      <c r="A32" s="12" t="s">
        <v>126</v>
      </c>
      <c r="B32" s="27">
        <v>8</v>
      </c>
    </row>
    <row r="33" spans="1:2" x14ac:dyDescent="0.3">
      <c r="A33" s="12" t="s">
        <v>150</v>
      </c>
      <c r="B33" s="27">
        <v>8</v>
      </c>
    </row>
    <row r="34" spans="1:2" x14ac:dyDescent="0.3">
      <c r="A34" s="12" t="s">
        <v>156</v>
      </c>
      <c r="B34" s="27">
        <v>8</v>
      </c>
    </row>
    <row r="35" spans="1:2" x14ac:dyDescent="0.3">
      <c r="A35" s="12" t="s">
        <v>144</v>
      </c>
      <c r="B35" s="27">
        <v>8</v>
      </c>
    </row>
    <row r="36" spans="1:2" x14ac:dyDescent="0.3">
      <c r="A36" s="12" t="s">
        <v>114</v>
      </c>
      <c r="B36" s="27">
        <v>8</v>
      </c>
    </row>
    <row r="37" spans="1:2" x14ac:dyDescent="0.3">
      <c r="A37" s="12" t="s">
        <v>339</v>
      </c>
      <c r="B37" s="27">
        <v>8</v>
      </c>
    </row>
    <row r="38" spans="1:2" x14ac:dyDescent="0.3">
      <c r="A38" s="12" t="s">
        <v>340</v>
      </c>
      <c r="B38" s="27">
        <v>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4AF9-BEC5-4C8D-8EF5-B41EB0F6AF07}">
  <dimension ref="F1:S12"/>
  <sheetViews>
    <sheetView tabSelected="1" workbookViewId="0">
      <selection activeCell="U13" sqref="U13"/>
    </sheetView>
  </sheetViews>
  <sheetFormatPr defaultRowHeight="14.4" x14ac:dyDescent="0.3"/>
  <sheetData>
    <row r="1" spans="6:19" s="17" customFormat="1" x14ac:dyDescent="0.3"/>
    <row r="2" spans="6:19" s="17" customFormat="1" ht="21" x14ac:dyDescent="0.4">
      <c r="F2" s="24" t="s">
        <v>353</v>
      </c>
      <c r="G2" s="25"/>
      <c r="I2" s="24" t="s">
        <v>354</v>
      </c>
      <c r="J2" s="25"/>
      <c r="L2" s="24" t="s">
        <v>355</v>
      </c>
      <c r="M2" s="25"/>
      <c r="O2" s="24" t="s">
        <v>356</v>
      </c>
      <c r="P2" s="25"/>
    </row>
    <row r="3" spans="6:19" s="17" customFormat="1" x14ac:dyDescent="0.3">
      <c r="F3" s="26">
        <f>Match_Summary!$B$13</f>
        <v>60</v>
      </c>
      <c r="G3" s="26"/>
      <c r="I3" s="26">
        <f>Match_Summary!F6</f>
        <v>9</v>
      </c>
      <c r="J3" s="26"/>
      <c r="L3" s="26">
        <f>GETPIVOTDATA("[Measures].[TotalRun]",Match_Summary!$A$3)</f>
        <v>20944</v>
      </c>
      <c r="M3" s="26"/>
      <c r="O3" s="26">
        <f>GETPIVOTDATA("[Measures].[Total_Wickets]",Match_Summary!$A$3)</f>
        <v>799</v>
      </c>
      <c r="P3" s="26"/>
    </row>
    <row r="4" spans="6:19" s="17" customFormat="1" x14ac:dyDescent="0.3">
      <c r="F4" s="26"/>
      <c r="G4" s="26"/>
      <c r="I4" s="26"/>
      <c r="J4" s="26"/>
      <c r="L4" s="26"/>
      <c r="M4" s="26"/>
      <c r="O4" s="26"/>
      <c r="P4" s="26"/>
    </row>
    <row r="5" spans="6:19" s="17" customFormat="1" x14ac:dyDescent="0.3">
      <c r="F5" s="26"/>
      <c r="G5" s="26"/>
      <c r="I5" s="26"/>
      <c r="J5" s="26"/>
      <c r="L5" s="26"/>
      <c r="M5" s="26"/>
      <c r="O5" s="26"/>
      <c r="P5" s="26"/>
    </row>
    <row r="12" spans="6:19" x14ac:dyDescent="0.3">
      <c r="S12" t="s">
        <v>352</v>
      </c>
    </row>
  </sheetData>
  <mergeCells count="8">
    <mergeCell ref="O2:P2"/>
    <mergeCell ref="O3:P5"/>
    <mergeCell ref="F2:G2"/>
    <mergeCell ref="F3:G5"/>
    <mergeCell ref="I2:J2"/>
    <mergeCell ref="I3:J5"/>
    <mergeCell ref="L2:M2"/>
    <mergeCell ref="L3: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DC8-CF54-452B-89CA-471CA4E3600E}">
  <dimension ref="A3:T229"/>
  <sheetViews>
    <sheetView topLeftCell="B40" workbookViewId="0">
      <selection activeCell="O37" sqref="O37"/>
    </sheetView>
  </sheetViews>
  <sheetFormatPr defaultRowHeight="14.4" x14ac:dyDescent="0.3"/>
  <cols>
    <col min="1" max="1" width="33.6640625" bestFit="1" customWidth="1"/>
    <col min="2" max="2" width="13.88671875" bestFit="1" customWidth="1"/>
    <col min="3" max="3" width="11.6640625" bestFit="1" customWidth="1"/>
    <col min="4" max="4" width="13.88671875" bestFit="1" customWidth="1"/>
    <col min="5" max="5" width="15" bestFit="1" customWidth="1"/>
    <col min="6" max="6" width="11.21875" bestFit="1" customWidth="1"/>
    <col min="7" max="7" width="8.88671875" bestFit="1" customWidth="1"/>
    <col min="9" max="9" width="33.6640625" bestFit="1" customWidth="1"/>
    <col min="10" max="10" width="18.109375" bestFit="1" customWidth="1"/>
    <col min="11" max="11" width="16.6640625" bestFit="1" customWidth="1"/>
    <col min="19" max="19" width="20.21875" bestFit="1" customWidth="1"/>
    <col min="20" max="20" width="14.6640625" bestFit="1" customWidth="1"/>
  </cols>
  <sheetData>
    <row r="3" spans="1:20" x14ac:dyDescent="0.3">
      <c r="A3" s="27" t="e" vm="1">
        <v>#VALUE!</v>
      </c>
      <c r="I3" s="16" t="s">
        <v>357</v>
      </c>
      <c r="J3" s="16" t="s">
        <v>347</v>
      </c>
      <c r="S3" s="11" t="s">
        <v>357</v>
      </c>
      <c r="T3" t="s">
        <v>360</v>
      </c>
    </row>
    <row r="4" spans="1:20" x14ac:dyDescent="0.3">
      <c r="I4" s="18" t="s">
        <v>97</v>
      </c>
      <c r="J4" s="19">
        <v>440</v>
      </c>
      <c r="S4" s="12" t="s">
        <v>97</v>
      </c>
      <c r="T4" s="27">
        <v>0</v>
      </c>
    </row>
    <row r="5" spans="1:20" x14ac:dyDescent="0.3">
      <c r="I5" s="18" t="s">
        <v>56</v>
      </c>
      <c r="J5" s="19">
        <v>368</v>
      </c>
      <c r="S5" s="12" t="s">
        <v>56</v>
      </c>
      <c r="T5" s="27">
        <v>54</v>
      </c>
    </row>
    <row r="6" spans="1:20" x14ac:dyDescent="0.3">
      <c r="I6" s="18" t="s">
        <v>89</v>
      </c>
      <c r="J6" s="19">
        <v>0</v>
      </c>
      <c r="S6" s="12" t="s">
        <v>89</v>
      </c>
      <c r="T6" s="27">
        <v>58</v>
      </c>
    </row>
    <row r="7" spans="1:20" x14ac:dyDescent="0.3">
      <c r="I7" s="18" t="s">
        <v>72</v>
      </c>
      <c r="J7" s="19">
        <v>0</v>
      </c>
      <c r="S7" s="12" t="s">
        <v>72</v>
      </c>
      <c r="T7" s="27">
        <v>30</v>
      </c>
    </row>
    <row r="8" spans="1:20" x14ac:dyDescent="0.3">
      <c r="I8" s="18" t="s">
        <v>100</v>
      </c>
      <c r="J8" s="19">
        <v>0</v>
      </c>
      <c r="S8" s="12" t="s">
        <v>100</v>
      </c>
      <c r="T8" s="27">
        <v>32.5</v>
      </c>
    </row>
    <row r="9" spans="1:20" x14ac:dyDescent="0.3">
      <c r="I9" s="18" t="s">
        <v>37</v>
      </c>
      <c r="J9" s="19">
        <v>261</v>
      </c>
      <c r="S9" s="12" t="s">
        <v>37</v>
      </c>
      <c r="T9" s="27">
        <v>0</v>
      </c>
    </row>
    <row r="10" spans="1:20" x14ac:dyDescent="0.3">
      <c r="I10" s="18" t="s">
        <v>64</v>
      </c>
      <c r="J10" s="19">
        <v>300</v>
      </c>
      <c r="S10" s="12" t="s">
        <v>64</v>
      </c>
      <c r="T10" s="27">
        <v>0</v>
      </c>
    </row>
    <row r="11" spans="1:20" x14ac:dyDescent="0.3">
      <c r="I11" s="18" t="s">
        <v>34</v>
      </c>
      <c r="J11" s="19">
        <v>0</v>
      </c>
      <c r="S11" s="12" t="s">
        <v>34</v>
      </c>
      <c r="T11" s="27">
        <v>47</v>
      </c>
    </row>
    <row r="12" spans="1:20" x14ac:dyDescent="0.3">
      <c r="I12" s="18" t="s">
        <v>51</v>
      </c>
      <c r="J12" s="19">
        <v>42</v>
      </c>
      <c r="S12" s="12" t="s">
        <v>51</v>
      </c>
      <c r="T12" s="27">
        <v>0</v>
      </c>
    </row>
    <row r="13" spans="1:20" x14ac:dyDescent="0.3">
      <c r="I13" s="18" t="s">
        <v>48</v>
      </c>
      <c r="J13" s="19">
        <v>151</v>
      </c>
      <c r="S13" s="12" t="s">
        <v>48</v>
      </c>
      <c r="T13" s="27">
        <v>7</v>
      </c>
    </row>
    <row r="14" spans="1:20" x14ac:dyDescent="0.3">
      <c r="I14" s="18" t="s">
        <v>28</v>
      </c>
      <c r="J14" s="19">
        <v>180</v>
      </c>
      <c r="S14" s="12" t="s">
        <v>28</v>
      </c>
      <c r="T14" s="27">
        <v>31.25</v>
      </c>
    </row>
    <row r="15" spans="1:20" x14ac:dyDescent="0.3">
      <c r="I15" s="18" t="s">
        <v>102</v>
      </c>
      <c r="J15" s="19">
        <v>482</v>
      </c>
      <c r="S15" s="12" t="s">
        <v>102</v>
      </c>
      <c r="T15" s="27">
        <v>0</v>
      </c>
    </row>
    <row r="16" spans="1:20" x14ac:dyDescent="0.3">
      <c r="I16" s="18" t="s">
        <v>20</v>
      </c>
      <c r="J16" s="19">
        <v>278</v>
      </c>
      <c r="S16" s="12" t="s">
        <v>20</v>
      </c>
      <c r="T16" s="27">
        <v>0</v>
      </c>
    </row>
    <row r="17" spans="9:20" x14ac:dyDescent="0.3">
      <c r="I17" s="18" t="s">
        <v>16</v>
      </c>
      <c r="J17" s="19">
        <v>0</v>
      </c>
      <c r="S17" s="12" t="s">
        <v>16</v>
      </c>
      <c r="T17" s="27">
        <v>69.25</v>
      </c>
    </row>
    <row r="18" spans="9:20" x14ac:dyDescent="0.3">
      <c r="I18" s="18" t="s">
        <v>92</v>
      </c>
      <c r="J18" s="19">
        <v>82</v>
      </c>
      <c r="S18" s="12" t="s">
        <v>92</v>
      </c>
      <c r="T18" s="27">
        <v>0</v>
      </c>
    </row>
    <row r="19" spans="9:20" x14ac:dyDescent="0.3">
      <c r="I19" s="18" t="s">
        <v>75</v>
      </c>
      <c r="J19" s="19">
        <v>597</v>
      </c>
      <c r="S19" s="12" t="s">
        <v>75</v>
      </c>
      <c r="T19" s="27">
        <v>0</v>
      </c>
    </row>
    <row r="20" spans="9:20" x14ac:dyDescent="0.3">
      <c r="I20" s="18" t="s">
        <v>94</v>
      </c>
      <c r="J20" s="19">
        <v>0</v>
      </c>
      <c r="S20" s="12" t="s">
        <v>94</v>
      </c>
      <c r="T20" s="27">
        <v>40.5</v>
      </c>
    </row>
    <row r="21" spans="9:20" x14ac:dyDescent="0.3">
      <c r="I21" s="18" t="s">
        <v>67</v>
      </c>
      <c r="J21" s="19">
        <v>0</v>
      </c>
      <c r="S21" s="12" t="s">
        <v>67</v>
      </c>
      <c r="T21" s="27">
        <v>23</v>
      </c>
    </row>
    <row r="22" spans="9:20" x14ac:dyDescent="0.3">
      <c r="I22" s="18" t="s">
        <v>86</v>
      </c>
      <c r="J22" s="19">
        <v>345</v>
      </c>
      <c r="S22" s="12" t="s">
        <v>86</v>
      </c>
      <c r="T22" s="27">
        <v>0</v>
      </c>
    </row>
    <row r="23" spans="9:20" x14ac:dyDescent="0.3">
      <c r="I23" s="18" t="s">
        <v>40</v>
      </c>
      <c r="J23" s="19">
        <v>0</v>
      </c>
      <c r="S23" s="12" t="s">
        <v>40</v>
      </c>
      <c r="T23" s="27">
        <v>5.25</v>
      </c>
    </row>
    <row r="24" spans="9:20" x14ac:dyDescent="0.3">
      <c r="I24" s="18" t="s">
        <v>70</v>
      </c>
      <c r="J24" s="19">
        <v>210</v>
      </c>
      <c r="S24" s="12" t="s">
        <v>70</v>
      </c>
      <c r="T24" s="27">
        <v>20</v>
      </c>
    </row>
    <row r="25" spans="9:20" x14ac:dyDescent="0.3">
      <c r="I25" s="18" t="s">
        <v>46</v>
      </c>
      <c r="J25" s="19">
        <v>25</v>
      </c>
      <c r="S25" s="12" t="s">
        <v>46</v>
      </c>
      <c r="T25" s="27">
        <v>41.25</v>
      </c>
    </row>
    <row r="26" spans="9:20" x14ac:dyDescent="0.3">
      <c r="I26" s="18" t="s">
        <v>53</v>
      </c>
      <c r="J26" s="19">
        <v>382</v>
      </c>
      <c r="S26" s="12" t="s">
        <v>53</v>
      </c>
      <c r="T26" s="27">
        <v>0</v>
      </c>
    </row>
    <row r="27" spans="9:20" x14ac:dyDescent="0.3">
      <c r="I27" s="18" t="s">
        <v>31</v>
      </c>
      <c r="J27" s="19">
        <v>491</v>
      </c>
      <c r="S27" s="12" t="s">
        <v>31</v>
      </c>
      <c r="T27" s="27">
        <v>0</v>
      </c>
    </row>
    <row r="28" spans="9:20" x14ac:dyDescent="0.3">
      <c r="I28" s="18" t="s">
        <v>59</v>
      </c>
      <c r="J28" s="19">
        <v>171</v>
      </c>
      <c r="S28" s="12" t="s">
        <v>59</v>
      </c>
      <c r="T28" s="27">
        <v>50.5</v>
      </c>
    </row>
    <row r="29" spans="9:20" x14ac:dyDescent="0.3">
      <c r="I29" s="18" t="s">
        <v>9</v>
      </c>
      <c r="J29" s="19">
        <v>386</v>
      </c>
      <c r="S29" s="12" t="s">
        <v>9</v>
      </c>
      <c r="T29" s="27">
        <v>0</v>
      </c>
    </row>
    <row r="30" spans="9:20" x14ac:dyDescent="0.3">
      <c r="I30" s="18" t="s">
        <v>25</v>
      </c>
      <c r="J30" s="19">
        <v>132</v>
      </c>
      <c r="S30" s="12" t="s">
        <v>25</v>
      </c>
      <c r="T30" s="27">
        <v>0</v>
      </c>
    </row>
    <row r="31" spans="9:20" x14ac:dyDescent="0.3">
      <c r="I31" s="18" t="s">
        <v>104</v>
      </c>
      <c r="J31" s="19">
        <v>550</v>
      </c>
      <c r="S31" s="12" t="s">
        <v>104</v>
      </c>
      <c r="T31" s="27">
        <v>0</v>
      </c>
    </row>
    <row r="32" spans="9:20" x14ac:dyDescent="0.3">
      <c r="I32" s="18" t="s">
        <v>81</v>
      </c>
      <c r="J32" s="19">
        <v>0</v>
      </c>
      <c r="S32" s="12" t="s">
        <v>81</v>
      </c>
      <c r="T32" s="27">
        <v>29.25</v>
      </c>
    </row>
    <row r="33" spans="1:20" x14ac:dyDescent="0.3">
      <c r="I33" s="18" t="s">
        <v>61</v>
      </c>
      <c r="J33" s="19">
        <v>0</v>
      </c>
      <c r="S33" s="12" t="s">
        <v>61</v>
      </c>
      <c r="T33" s="27">
        <v>29.61</v>
      </c>
    </row>
    <row r="34" spans="1:20" x14ac:dyDescent="0.3">
      <c r="I34" s="18" t="s">
        <v>43</v>
      </c>
      <c r="J34" s="19">
        <v>982</v>
      </c>
      <c r="S34" s="12" t="s">
        <v>43</v>
      </c>
      <c r="T34" s="27">
        <v>0</v>
      </c>
    </row>
    <row r="35" spans="1:20" x14ac:dyDescent="0.3">
      <c r="I35" s="18" t="s">
        <v>84</v>
      </c>
      <c r="J35" s="19">
        <v>608</v>
      </c>
      <c r="S35" s="12" t="s">
        <v>84</v>
      </c>
      <c r="T35" s="27">
        <v>0</v>
      </c>
    </row>
    <row r="36" spans="1:20" x14ac:dyDescent="0.3">
      <c r="I36" s="18" t="s">
        <v>79</v>
      </c>
      <c r="J36" s="19">
        <v>0</v>
      </c>
      <c r="S36" s="12" t="s">
        <v>79</v>
      </c>
      <c r="T36" s="27">
        <v>45</v>
      </c>
    </row>
    <row r="37" spans="1:20" x14ac:dyDescent="0.3">
      <c r="I37" s="20" t="s">
        <v>340</v>
      </c>
      <c r="J37" s="21">
        <v>7463</v>
      </c>
      <c r="S37" s="12" t="s">
        <v>340</v>
      </c>
      <c r="T37" s="27">
        <v>613.36</v>
      </c>
    </row>
    <row r="40" spans="1:20" x14ac:dyDescent="0.3">
      <c r="A40" s="11" t="s">
        <v>357</v>
      </c>
      <c r="B40" t="s">
        <v>346</v>
      </c>
      <c r="I40" s="11" t="s">
        <v>357</v>
      </c>
      <c r="J40" t="s">
        <v>358</v>
      </c>
      <c r="K40" t="s">
        <v>359</v>
      </c>
    </row>
    <row r="41" spans="1:20" x14ac:dyDescent="0.3">
      <c r="A41" s="12" t="s">
        <v>37</v>
      </c>
      <c r="B41" s="27"/>
      <c r="I41" s="12" t="s">
        <v>37</v>
      </c>
      <c r="J41" s="27"/>
      <c r="K41" s="27"/>
    </row>
    <row r="42" spans="1:20" x14ac:dyDescent="0.3">
      <c r="A42" s="13" t="s">
        <v>26</v>
      </c>
      <c r="B42" s="27"/>
      <c r="I42" s="13" t="s">
        <v>26</v>
      </c>
      <c r="J42" s="27"/>
      <c r="K42" s="27"/>
    </row>
    <row r="43" spans="1:20" x14ac:dyDescent="0.3">
      <c r="A43" s="15" t="s">
        <v>117</v>
      </c>
      <c r="B43" s="27">
        <v>0</v>
      </c>
      <c r="I43" s="15" t="s">
        <v>117</v>
      </c>
      <c r="J43" s="22">
        <v>136.36000000000001</v>
      </c>
      <c r="K43" s="27">
        <v>136.36000000000001</v>
      </c>
    </row>
    <row r="44" spans="1:20" x14ac:dyDescent="0.3">
      <c r="A44" s="15" t="s">
        <v>135</v>
      </c>
      <c r="B44" s="27">
        <v>0</v>
      </c>
      <c r="I44" s="15" t="s">
        <v>135</v>
      </c>
      <c r="J44" s="22">
        <v>150</v>
      </c>
      <c r="K44" s="27">
        <v>150</v>
      </c>
    </row>
    <row r="45" spans="1:20" x14ac:dyDescent="0.3">
      <c r="A45" s="15" t="s">
        <v>111</v>
      </c>
      <c r="B45" s="27">
        <v>0</v>
      </c>
      <c r="I45" s="15" t="s">
        <v>111</v>
      </c>
      <c r="J45" s="22">
        <v>150</v>
      </c>
      <c r="K45" s="27">
        <v>150</v>
      </c>
    </row>
    <row r="46" spans="1:20" x14ac:dyDescent="0.3">
      <c r="A46" s="15" t="s">
        <v>153</v>
      </c>
      <c r="B46" s="27">
        <v>0</v>
      </c>
      <c r="I46" s="15" t="s">
        <v>153</v>
      </c>
      <c r="J46" s="22">
        <v>150</v>
      </c>
      <c r="K46" s="27">
        <v>150</v>
      </c>
    </row>
    <row r="47" spans="1:20" x14ac:dyDescent="0.3">
      <c r="A47" s="15" t="s">
        <v>339</v>
      </c>
      <c r="B47" s="27">
        <v>0</v>
      </c>
      <c r="I47" s="15" t="s">
        <v>339</v>
      </c>
      <c r="J47" s="22">
        <v>161.905</v>
      </c>
      <c r="K47" s="27">
        <v>323.81</v>
      </c>
    </row>
    <row r="48" spans="1:20" x14ac:dyDescent="0.3">
      <c r="A48" s="12" t="s">
        <v>43</v>
      </c>
      <c r="B48" s="27"/>
      <c r="I48" s="12" t="s">
        <v>43</v>
      </c>
      <c r="J48" s="27"/>
      <c r="K48" s="27"/>
    </row>
    <row r="49" spans="1:11" x14ac:dyDescent="0.3">
      <c r="A49" s="13" t="s">
        <v>11</v>
      </c>
      <c r="B49" s="27"/>
      <c r="I49" s="13" t="s">
        <v>11</v>
      </c>
      <c r="J49" s="27"/>
      <c r="K49" s="27"/>
    </row>
    <row r="50" spans="1:11" x14ac:dyDescent="0.3">
      <c r="A50" s="15" t="s">
        <v>117</v>
      </c>
      <c r="B50" s="27">
        <v>0</v>
      </c>
      <c r="I50" s="15" t="s">
        <v>117</v>
      </c>
      <c r="J50" s="22">
        <v>154.81666666666666</v>
      </c>
      <c r="K50" s="27">
        <v>464.45</v>
      </c>
    </row>
    <row r="51" spans="1:11" x14ac:dyDescent="0.3">
      <c r="A51" s="15" t="s">
        <v>135</v>
      </c>
      <c r="B51" s="27">
        <v>0</v>
      </c>
      <c r="I51" s="15" t="s">
        <v>135</v>
      </c>
      <c r="J51" s="22">
        <v>71.430000000000007</v>
      </c>
      <c r="K51" s="27">
        <v>71.430000000000007</v>
      </c>
    </row>
    <row r="52" spans="1:11" x14ac:dyDescent="0.3">
      <c r="A52" s="15" t="s">
        <v>129</v>
      </c>
      <c r="B52" s="27">
        <v>0</v>
      </c>
      <c r="I52" s="15" t="s">
        <v>129</v>
      </c>
      <c r="J52" s="22">
        <v>133.33000000000001</v>
      </c>
      <c r="K52" s="27">
        <v>133.33000000000001</v>
      </c>
    </row>
    <row r="53" spans="1:11" x14ac:dyDescent="0.3">
      <c r="A53" s="15" t="s">
        <v>123</v>
      </c>
      <c r="B53" s="27">
        <v>0</v>
      </c>
      <c r="I53" s="15" t="s">
        <v>123</v>
      </c>
      <c r="J53" s="22">
        <v>148.81</v>
      </c>
      <c r="K53" s="27">
        <v>446.43</v>
      </c>
    </row>
    <row r="54" spans="1:11" x14ac:dyDescent="0.3">
      <c r="A54" s="15" t="s">
        <v>153</v>
      </c>
      <c r="B54" s="27">
        <v>0</v>
      </c>
      <c r="I54" s="15" t="s">
        <v>153</v>
      </c>
      <c r="J54" s="22">
        <v>133.33000000000001</v>
      </c>
      <c r="K54" s="27">
        <v>133.33000000000001</v>
      </c>
    </row>
    <row r="55" spans="1:11" x14ac:dyDescent="0.3">
      <c r="A55" s="15" t="s">
        <v>339</v>
      </c>
      <c r="B55" s="27">
        <v>0</v>
      </c>
      <c r="I55" s="15" t="s">
        <v>339</v>
      </c>
      <c r="J55" s="22">
        <v>168.47833333333332</v>
      </c>
      <c r="K55" s="27">
        <v>1010.87</v>
      </c>
    </row>
    <row r="56" spans="1:11" x14ac:dyDescent="0.3">
      <c r="A56" s="12" t="s">
        <v>64</v>
      </c>
      <c r="B56" s="27"/>
      <c r="I56" s="12" t="s">
        <v>64</v>
      </c>
      <c r="J56" s="27"/>
      <c r="K56" s="27"/>
    </row>
    <row r="57" spans="1:11" x14ac:dyDescent="0.3">
      <c r="A57" s="13" t="s">
        <v>11</v>
      </c>
      <c r="B57" s="27"/>
      <c r="I57" s="13" t="s">
        <v>11</v>
      </c>
      <c r="J57" s="27"/>
      <c r="K57" s="27"/>
    </row>
    <row r="58" spans="1:11" x14ac:dyDescent="0.3">
      <c r="A58" s="15" t="s">
        <v>135</v>
      </c>
      <c r="B58" s="27">
        <v>0</v>
      </c>
      <c r="I58" s="15" t="s">
        <v>135</v>
      </c>
      <c r="J58" s="22">
        <v>156.66499999999999</v>
      </c>
      <c r="K58" s="27">
        <v>313.33</v>
      </c>
    </row>
    <row r="59" spans="1:11" x14ac:dyDescent="0.3">
      <c r="A59" s="15" t="s">
        <v>129</v>
      </c>
      <c r="B59" s="27">
        <v>0</v>
      </c>
      <c r="I59" s="15" t="s">
        <v>129</v>
      </c>
      <c r="J59" s="22">
        <v>157.13999999999999</v>
      </c>
      <c r="K59" s="27">
        <v>157.13999999999999</v>
      </c>
    </row>
    <row r="60" spans="1:11" x14ac:dyDescent="0.3">
      <c r="A60" s="15" t="s">
        <v>111</v>
      </c>
      <c r="B60" s="27">
        <v>0</v>
      </c>
      <c r="I60" s="15" t="s">
        <v>111</v>
      </c>
      <c r="J60" s="22">
        <v>125</v>
      </c>
      <c r="K60" s="27">
        <v>125</v>
      </c>
    </row>
    <row r="61" spans="1:11" x14ac:dyDescent="0.3">
      <c r="A61" s="15" t="s">
        <v>153</v>
      </c>
      <c r="B61" s="27">
        <v>0</v>
      </c>
      <c r="I61" s="15" t="s">
        <v>153</v>
      </c>
      <c r="J61" s="22">
        <v>128.57</v>
      </c>
      <c r="K61" s="27">
        <v>257.14</v>
      </c>
    </row>
    <row r="62" spans="1:11" x14ac:dyDescent="0.3">
      <c r="A62" s="12" t="s">
        <v>89</v>
      </c>
      <c r="B62" s="27"/>
      <c r="I62" s="12" t="s">
        <v>89</v>
      </c>
      <c r="J62" s="27"/>
      <c r="K62" s="27"/>
    </row>
    <row r="63" spans="1:11" x14ac:dyDescent="0.3">
      <c r="A63" s="13" t="s">
        <v>17</v>
      </c>
      <c r="B63" s="27"/>
      <c r="I63" s="13" t="s">
        <v>17</v>
      </c>
      <c r="J63" s="27"/>
      <c r="K63" s="27"/>
    </row>
    <row r="64" spans="1:11" x14ac:dyDescent="0.3">
      <c r="A64" s="15" t="s">
        <v>135</v>
      </c>
      <c r="B64" s="27">
        <v>3</v>
      </c>
      <c r="I64" s="15" t="s">
        <v>135</v>
      </c>
      <c r="J64" s="22">
        <v>0</v>
      </c>
      <c r="K64" s="27">
        <v>0</v>
      </c>
    </row>
    <row r="65" spans="1:11" x14ac:dyDescent="0.3">
      <c r="A65" s="15" t="s">
        <v>129</v>
      </c>
      <c r="B65" s="27">
        <v>2</v>
      </c>
      <c r="I65" s="15" t="s">
        <v>129</v>
      </c>
      <c r="J65" s="22">
        <v>0</v>
      </c>
      <c r="K65" s="27">
        <v>0</v>
      </c>
    </row>
    <row r="66" spans="1:11" x14ac:dyDescent="0.3">
      <c r="A66" s="15" t="s">
        <v>111</v>
      </c>
      <c r="B66" s="27">
        <v>1</v>
      </c>
      <c r="I66" s="15" t="s">
        <v>111</v>
      </c>
      <c r="J66" s="22">
        <v>0</v>
      </c>
      <c r="K66" s="27">
        <v>0</v>
      </c>
    </row>
    <row r="67" spans="1:11" x14ac:dyDescent="0.3">
      <c r="A67" s="15" t="s">
        <v>147</v>
      </c>
      <c r="B67" s="27">
        <v>2</v>
      </c>
      <c r="I67" s="15" t="s">
        <v>147</v>
      </c>
      <c r="J67" s="22">
        <v>0</v>
      </c>
      <c r="K67" s="27">
        <v>0</v>
      </c>
    </row>
    <row r="68" spans="1:11" x14ac:dyDescent="0.3">
      <c r="A68" s="15" t="s">
        <v>141</v>
      </c>
      <c r="B68" s="27">
        <v>3</v>
      </c>
      <c r="I68" s="15" t="s">
        <v>141</v>
      </c>
      <c r="J68" s="22">
        <v>0</v>
      </c>
      <c r="K68" s="27">
        <v>0</v>
      </c>
    </row>
    <row r="69" spans="1:11" x14ac:dyDescent="0.3">
      <c r="A69" s="15" t="s">
        <v>339</v>
      </c>
      <c r="B69" s="27">
        <v>8</v>
      </c>
      <c r="I69" s="15" t="s">
        <v>339</v>
      </c>
      <c r="J69" s="22">
        <v>0</v>
      </c>
      <c r="K69" s="27">
        <v>0</v>
      </c>
    </row>
    <row r="70" spans="1:11" x14ac:dyDescent="0.3">
      <c r="A70" s="12" t="s">
        <v>72</v>
      </c>
      <c r="B70" s="27"/>
      <c r="I70" s="12" t="s">
        <v>72</v>
      </c>
      <c r="J70" s="27"/>
      <c r="K70" s="27"/>
    </row>
    <row r="71" spans="1:11" x14ac:dyDescent="0.3">
      <c r="A71" s="13" t="s">
        <v>26</v>
      </c>
      <c r="B71" s="27"/>
      <c r="I71" s="13" t="s">
        <v>26</v>
      </c>
      <c r="J71" s="27"/>
      <c r="K71" s="27"/>
    </row>
    <row r="72" spans="1:11" x14ac:dyDescent="0.3">
      <c r="A72" s="15" t="s">
        <v>135</v>
      </c>
      <c r="B72" s="27">
        <v>3</v>
      </c>
      <c r="I72" s="15" t="s">
        <v>135</v>
      </c>
      <c r="J72" s="22">
        <v>0</v>
      </c>
      <c r="K72" s="27">
        <v>0</v>
      </c>
    </row>
    <row r="73" spans="1:11" x14ac:dyDescent="0.3">
      <c r="A73" s="15" t="s">
        <v>141</v>
      </c>
      <c r="B73" s="27">
        <v>1</v>
      </c>
      <c r="I73" s="15" t="s">
        <v>141</v>
      </c>
      <c r="J73" s="22">
        <v>0</v>
      </c>
      <c r="K73" s="27">
        <v>0</v>
      </c>
    </row>
    <row r="74" spans="1:11" x14ac:dyDescent="0.3">
      <c r="A74" s="15" t="s">
        <v>339</v>
      </c>
      <c r="B74" s="27">
        <v>5</v>
      </c>
      <c r="I74" s="15" t="s">
        <v>339</v>
      </c>
      <c r="J74" s="22">
        <v>0</v>
      </c>
      <c r="K74" s="27">
        <v>0</v>
      </c>
    </row>
    <row r="75" spans="1:11" x14ac:dyDescent="0.3">
      <c r="A75" s="12" t="s">
        <v>20</v>
      </c>
      <c r="B75" s="27"/>
      <c r="I75" s="12" t="s">
        <v>20</v>
      </c>
      <c r="J75" s="27"/>
      <c r="K75" s="27"/>
    </row>
    <row r="76" spans="1:11" x14ac:dyDescent="0.3">
      <c r="A76" s="13" t="s">
        <v>21</v>
      </c>
      <c r="B76" s="27"/>
      <c r="I76" s="13" t="s">
        <v>21</v>
      </c>
      <c r="J76" s="27"/>
      <c r="K76" s="27"/>
    </row>
    <row r="77" spans="1:11" x14ac:dyDescent="0.3">
      <c r="A77" s="15" t="s">
        <v>135</v>
      </c>
      <c r="B77" s="27">
        <v>0</v>
      </c>
      <c r="I77" s="15" t="s">
        <v>135</v>
      </c>
      <c r="J77" s="22">
        <v>173.33</v>
      </c>
      <c r="K77" s="27">
        <v>173.33</v>
      </c>
    </row>
    <row r="78" spans="1:11" x14ac:dyDescent="0.3">
      <c r="A78" s="15" t="s">
        <v>111</v>
      </c>
      <c r="B78" s="27">
        <v>0</v>
      </c>
      <c r="I78" s="15" t="s">
        <v>111</v>
      </c>
      <c r="J78" s="22">
        <v>50</v>
      </c>
      <c r="K78" s="27">
        <v>50</v>
      </c>
    </row>
    <row r="79" spans="1:11" x14ac:dyDescent="0.3">
      <c r="A79" s="15" t="s">
        <v>141</v>
      </c>
      <c r="B79" s="27">
        <v>0</v>
      </c>
      <c r="I79" s="15" t="s">
        <v>141</v>
      </c>
      <c r="J79" s="22">
        <v>133.33000000000001</v>
      </c>
      <c r="K79" s="27">
        <v>133.33000000000001</v>
      </c>
    </row>
    <row r="80" spans="1:11" x14ac:dyDescent="0.3">
      <c r="A80" s="15" t="s">
        <v>339</v>
      </c>
      <c r="B80" s="27">
        <v>0</v>
      </c>
      <c r="I80" s="15" t="s">
        <v>339</v>
      </c>
      <c r="J80" s="22">
        <v>154.76333333333335</v>
      </c>
      <c r="K80" s="27">
        <v>464.29</v>
      </c>
    </row>
    <row r="81" spans="1:11" x14ac:dyDescent="0.3">
      <c r="A81" s="12" t="s">
        <v>67</v>
      </c>
      <c r="B81" s="27"/>
      <c r="I81" s="12" t="s">
        <v>67</v>
      </c>
      <c r="J81" s="27"/>
      <c r="K81" s="27"/>
    </row>
    <row r="82" spans="1:11" x14ac:dyDescent="0.3">
      <c r="A82" s="13" t="s">
        <v>17</v>
      </c>
      <c r="B82" s="27"/>
      <c r="I82" s="13" t="s">
        <v>17</v>
      </c>
      <c r="J82" s="27"/>
      <c r="K82" s="27"/>
    </row>
    <row r="83" spans="1:11" x14ac:dyDescent="0.3">
      <c r="A83" s="15" t="s">
        <v>135</v>
      </c>
      <c r="B83" s="27">
        <v>1</v>
      </c>
      <c r="I83" s="15" t="s">
        <v>135</v>
      </c>
      <c r="J83" s="22">
        <v>0</v>
      </c>
      <c r="K83" s="27">
        <v>0</v>
      </c>
    </row>
    <row r="84" spans="1:11" x14ac:dyDescent="0.3">
      <c r="A84" s="15" t="s">
        <v>147</v>
      </c>
      <c r="B84" s="27">
        <v>2</v>
      </c>
      <c r="I84" s="15" t="s">
        <v>147</v>
      </c>
      <c r="J84" s="22">
        <v>0</v>
      </c>
      <c r="K84" s="27">
        <v>0</v>
      </c>
    </row>
    <row r="85" spans="1:11" x14ac:dyDescent="0.3">
      <c r="A85" s="15" t="s">
        <v>141</v>
      </c>
      <c r="B85" s="27">
        <v>2</v>
      </c>
      <c r="I85" s="15" t="s">
        <v>141</v>
      </c>
      <c r="J85" s="22">
        <v>0</v>
      </c>
      <c r="K85" s="27">
        <v>0</v>
      </c>
    </row>
    <row r="86" spans="1:11" x14ac:dyDescent="0.3">
      <c r="A86" s="15" t="s">
        <v>339</v>
      </c>
      <c r="B86" s="27">
        <v>5</v>
      </c>
      <c r="I86" s="15" t="s">
        <v>339</v>
      </c>
      <c r="J86" s="22">
        <v>0</v>
      </c>
      <c r="K86" s="27">
        <v>0</v>
      </c>
    </row>
    <row r="87" spans="1:11" x14ac:dyDescent="0.3">
      <c r="A87" s="12" t="s">
        <v>59</v>
      </c>
      <c r="B87" s="27"/>
      <c r="I87" s="12" t="s">
        <v>59</v>
      </c>
      <c r="J87" s="27"/>
      <c r="K87" s="27"/>
    </row>
    <row r="88" spans="1:11" x14ac:dyDescent="0.3">
      <c r="A88" s="13" t="s">
        <v>26</v>
      </c>
      <c r="B88" s="27"/>
      <c r="I88" s="13" t="s">
        <v>26</v>
      </c>
      <c r="J88" s="27"/>
      <c r="K88" s="27"/>
    </row>
    <row r="89" spans="1:11" x14ac:dyDescent="0.3">
      <c r="A89" s="15" t="s">
        <v>135</v>
      </c>
      <c r="B89" s="27">
        <v>2</v>
      </c>
      <c r="I89" s="15" t="s">
        <v>135</v>
      </c>
      <c r="J89" s="22">
        <v>180</v>
      </c>
      <c r="K89" s="27">
        <v>180</v>
      </c>
    </row>
    <row r="90" spans="1:11" x14ac:dyDescent="0.3">
      <c r="A90" s="15" t="s">
        <v>129</v>
      </c>
      <c r="B90" s="27">
        <v>1</v>
      </c>
      <c r="I90" s="15" t="s">
        <v>129</v>
      </c>
      <c r="J90" s="22">
        <v>150</v>
      </c>
      <c r="K90" s="27">
        <v>150</v>
      </c>
    </row>
    <row r="91" spans="1:11" x14ac:dyDescent="0.3">
      <c r="A91" s="15" t="s">
        <v>141</v>
      </c>
      <c r="B91" s="27">
        <v>2</v>
      </c>
      <c r="I91" s="15" t="s">
        <v>141</v>
      </c>
      <c r="J91" s="22">
        <v>180</v>
      </c>
      <c r="K91" s="27">
        <v>180</v>
      </c>
    </row>
    <row r="92" spans="1:11" x14ac:dyDescent="0.3">
      <c r="A92" s="15" t="s">
        <v>123</v>
      </c>
      <c r="B92" s="27">
        <v>1</v>
      </c>
      <c r="I92" s="15" t="s">
        <v>123</v>
      </c>
      <c r="J92" s="22">
        <v>125</v>
      </c>
      <c r="K92" s="27">
        <v>125</v>
      </c>
    </row>
    <row r="93" spans="1:11" x14ac:dyDescent="0.3">
      <c r="A93" s="15" t="s">
        <v>339</v>
      </c>
      <c r="B93" s="27">
        <v>10</v>
      </c>
      <c r="I93" s="15" t="s">
        <v>339</v>
      </c>
      <c r="J93" s="22">
        <v>185.41749999999999</v>
      </c>
      <c r="K93" s="27">
        <v>741.67</v>
      </c>
    </row>
    <row r="94" spans="1:11" x14ac:dyDescent="0.3">
      <c r="A94" s="12" t="s">
        <v>9</v>
      </c>
      <c r="B94" s="27"/>
      <c r="I94" s="12" t="s">
        <v>9</v>
      </c>
      <c r="J94" s="27"/>
      <c r="K94" s="27"/>
    </row>
    <row r="95" spans="1:11" x14ac:dyDescent="0.3">
      <c r="A95" s="13" t="s">
        <v>11</v>
      </c>
      <c r="B95" s="27"/>
      <c r="I95" s="13" t="s">
        <v>11</v>
      </c>
      <c r="J95" s="27"/>
      <c r="K95" s="27"/>
    </row>
    <row r="96" spans="1:11" x14ac:dyDescent="0.3">
      <c r="A96" s="15" t="s">
        <v>135</v>
      </c>
      <c r="B96" s="27">
        <v>0</v>
      </c>
      <c r="I96" s="15" t="s">
        <v>135</v>
      </c>
      <c r="J96" s="22">
        <v>183.33</v>
      </c>
      <c r="K96" s="27">
        <v>183.33</v>
      </c>
    </row>
    <row r="97" spans="1:11" x14ac:dyDescent="0.3">
      <c r="A97" s="15" t="s">
        <v>111</v>
      </c>
      <c r="B97" s="27">
        <v>0</v>
      </c>
      <c r="I97" s="15" t="s">
        <v>111</v>
      </c>
      <c r="J97" s="22">
        <v>183.33</v>
      </c>
      <c r="K97" s="27">
        <v>183.33</v>
      </c>
    </row>
    <row r="98" spans="1:11" x14ac:dyDescent="0.3">
      <c r="A98" s="15" t="s">
        <v>123</v>
      </c>
      <c r="B98" s="27">
        <v>0</v>
      </c>
      <c r="I98" s="15" t="s">
        <v>123</v>
      </c>
      <c r="J98" s="22">
        <v>162.5</v>
      </c>
      <c r="K98" s="27">
        <v>162.5</v>
      </c>
    </row>
    <row r="99" spans="1:11" x14ac:dyDescent="0.3">
      <c r="A99" s="15" t="s">
        <v>339</v>
      </c>
      <c r="B99" s="27">
        <v>0</v>
      </c>
      <c r="I99" s="15" t="s">
        <v>339</v>
      </c>
      <c r="J99" s="22">
        <v>161.11500000000001</v>
      </c>
      <c r="K99" s="27">
        <v>322.23</v>
      </c>
    </row>
    <row r="100" spans="1:11" x14ac:dyDescent="0.3">
      <c r="A100" s="12" t="s">
        <v>84</v>
      </c>
      <c r="B100" s="27"/>
      <c r="I100" s="12" t="s">
        <v>84</v>
      </c>
      <c r="J100" s="27"/>
      <c r="K100" s="27"/>
    </row>
    <row r="101" spans="1:11" x14ac:dyDescent="0.3">
      <c r="A101" s="13" t="s">
        <v>11</v>
      </c>
      <c r="B101" s="27"/>
      <c r="I101" s="13" t="s">
        <v>11</v>
      </c>
      <c r="J101" s="27"/>
      <c r="K101" s="27"/>
    </row>
    <row r="102" spans="1:11" x14ac:dyDescent="0.3">
      <c r="A102" s="15" t="s">
        <v>135</v>
      </c>
      <c r="B102" s="27">
        <v>0</v>
      </c>
      <c r="I102" s="15" t="s">
        <v>135</v>
      </c>
      <c r="J102" s="22">
        <v>169.23</v>
      </c>
      <c r="K102" s="27">
        <v>169.23</v>
      </c>
    </row>
    <row r="103" spans="1:11" x14ac:dyDescent="0.3">
      <c r="A103" s="15" t="s">
        <v>147</v>
      </c>
      <c r="B103" s="27">
        <v>0</v>
      </c>
      <c r="I103" s="15" t="s">
        <v>147</v>
      </c>
      <c r="J103" s="22">
        <v>154.55000000000001</v>
      </c>
      <c r="K103" s="27">
        <v>154.55000000000001</v>
      </c>
    </row>
    <row r="104" spans="1:11" x14ac:dyDescent="0.3">
      <c r="A104" s="15" t="s">
        <v>141</v>
      </c>
      <c r="B104" s="27">
        <v>0</v>
      </c>
      <c r="I104" s="15" t="s">
        <v>141</v>
      </c>
      <c r="J104" s="22">
        <v>85.71</v>
      </c>
      <c r="K104" s="27">
        <v>85.71</v>
      </c>
    </row>
    <row r="105" spans="1:11" x14ac:dyDescent="0.3">
      <c r="A105" s="15" t="s">
        <v>123</v>
      </c>
      <c r="B105" s="27">
        <v>0</v>
      </c>
      <c r="I105" s="15" t="s">
        <v>123</v>
      </c>
      <c r="J105" s="22">
        <v>169.23</v>
      </c>
      <c r="K105" s="27">
        <v>169.23</v>
      </c>
    </row>
    <row r="106" spans="1:11" x14ac:dyDescent="0.3">
      <c r="A106" s="15" t="s">
        <v>339</v>
      </c>
      <c r="B106" s="27">
        <v>0</v>
      </c>
      <c r="I106" s="15" t="s">
        <v>339</v>
      </c>
      <c r="J106" s="22">
        <v>171.39000000000001</v>
      </c>
      <c r="K106" s="27">
        <v>856.95</v>
      </c>
    </row>
    <row r="107" spans="1:11" x14ac:dyDescent="0.3">
      <c r="A107" s="12" t="s">
        <v>79</v>
      </c>
      <c r="B107" s="27"/>
      <c r="I107" s="12" t="s">
        <v>79</v>
      </c>
      <c r="J107" s="27"/>
      <c r="K107" s="27"/>
    </row>
    <row r="108" spans="1:11" x14ac:dyDescent="0.3">
      <c r="A108" s="13" t="s">
        <v>17</v>
      </c>
      <c r="B108" s="27"/>
      <c r="I108" s="13" t="s">
        <v>17</v>
      </c>
      <c r="J108" s="27"/>
      <c r="K108" s="27"/>
    </row>
    <row r="109" spans="1:11" x14ac:dyDescent="0.3">
      <c r="A109" s="15" t="s">
        <v>135</v>
      </c>
      <c r="B109" s="27">
        <v>2</v>
      </c>
      <c r="I109" s="15" t="s">
        <v>135</v>
      </c>
      <c r="J109" s="22">
        <v>0</v>
      </c>
      <c r="K109" s="27">
        <v>0</v>
      </c>
    </row>
    <row r="110" spans="1:11" x14ac:dyDescent="0.3">
      <c r="A110" s="15" t="s">
        <v>129</v>
      </c>
      <c r="B110" s="27">
        <v>1</v>
      </c>
      <c r="I110" s="15" t="s">
        <v>129</v>
      </c>
      <c r="J110" s="22">
        <v>0</v>
      </c>
      <c r="K110" s="27">
        <v>0</v>
      </c>
    </row>
    <row r="111" spans="1:11" x14ac:dyDescent="0.3">
      <c r="A111" s="15" t="s">
        <v>111</v>
      </c>
      <c r="B111" s="27">
        <v>1</v>
      </c>
      <c r="I111" s="15" t="s">
        <v>111</v>
      </c>
      <c r="J111" s="22">
        <v>0</v>
      </c>
      <c r="K111" s="27">
        <v>0</v>
      </c>
    </row>
    <row r="112" spans="1:11" x14ac:dyDescent="0.3">
      <c r="A112" s="15" t="s">
        <v>141</v>
      </c>
      <c r="B112" s="27">
        <v>3</v>
      </c>
      <c r="I112" s="15" t="s">
        <v>141</v>
      </c>
      <c r="J112" s="22">
        <v>0</v>
      </c>
      <c r="K112" s="27">
        <v>0</v>
      </c>
    </row>
    <row r="113" spans="1:11" x14ac:dyDescent="0.3">
      <c r="A113" s="15" t="s">
        <v>339</v>
      </c>
      <c r="B113" s="27">
        <v>2</v>
      </c>
      <c r="I113" s="15" t="s">
        <v>339</v>
      </c>
      <c r="J113" s="22">
        <v>0</v>
      </c>
      <c r="K113" s="27">
        <v>0</v>
      </c>
    </row>
    <row r="114" spans="1:11" x14ac:dyDescent="0.3">
      <c r="A114" s="12" t="s">
        <v>97</v>
      </c>
      <c r="B114" s="27"/>
      <c r="I114" s="12" t="s">
        <v>97</v>
      </c>
      <c r="J114" s="27"/>
      <c r="K114" s="27"/>
    </row>
    <row r="115" spans="1:11" x14ac:dyDescent="0.3">
      <c r="A115" s="13" t="s">
        <v>11</v>
      </c>
      <c r="B115" s="27"/>
      <c r="I115" s="13" t="s">
        <v>11</v>
      </c>
      <c r="J115" s="27"/>
      <c r="K115" s="27"/>
    </row>
    <row r="116" spans="1:11" x14ac:dyDescent="0.3">
      <c r="A116" s="15" t="s">
        <v>129</v>
      </c>
      <c r="B116" s="27">
        <v>0</v>
      </c>
      <c r="I116" s="15" t="s">
        <v>129</v>
      </c>
      <c r="J116" s="22">
        <v>162.5</v>
      </c>
      <c r="K116" s="27">
        <v>325</v>
      </c>
    </row>
    <row r="117" spans="1:11" x14ac:dyDescent="0.3">
      <c r="A117" s="15" t="s">
        <v>153</v>
      </c>
      <c r="B117" s="27">
        <v>0</v>
      </c>
      <c r="I117" s="15" t="s">
        <v>153</v>
      </c>
      <c r="J117" s="22">
        <v>154.16499999999999</v>
      </c>
      <c r="K117" s="27">
        <v>308.33</v>
      </c>
    </row>
    <row r="118" spans="1:11" x14ac:dyDescent="0.3">
      <c r="A118" s="15" t="s">
        <v>339</v>
      </c>
      <c r="B118" s="27">
        <v>0</v>
      </c>
      <c r="I118" s="15" t="s">
        <v>339</v>
      </c>
      <c r="J118" s="22">
        <v>168.30666666666667</v>
      </c>
      <c r="K118" s="27">
        <v>504.92</v>
      </c>
    </row>
    <row r="119" spans="1:11" x14ac:dyDescent="0.3">
      <c r="A119" s="12" t="s">
        <v>56</v>
      </c>
      <c r="B119" s="27"/>
      <c r="I119" s="12" t="s">
        <v>56</v>
      </c>
      <c r="J119" s="27"/>
      <c r="K119" s="27"/>
    </row>
    <row r="120" spans="1:11" x14ac:dyDescent="0.3">
      <c r="A120" s="13" t="s">
        <v>26</v>
      </c>
      <c r="B120" s="27"/>
      <c r="I120" s="13" t="s">
        <v>26</v>
      </c>
      <c r="J120" s="27"/>
      <c r="K120" s="27"/>
    </row>
    <row r="121" spans="1:11" x14ac:dyDescent="0.3">
      <c r="A121" s="15" t="s">
        <v>129</v>
      </c>
      <c r="B121" s="27">
        <v>4</v>
      </c>
      <c r="I121" s="15" t="s">
        <v>129</v>
      </c>
      <c r="J121" s="22">
        <v>188.19499999999999</v>
      </c>
      <c r="K121" s="27">
        <v>376.39</v>
      </c>
    </row>
    <row r="122" spans="1:11" x14ac:dyDescent="0.3">
      <c r="A122" s="15" t="s">
        <v>147</v>
      </c>
      <c r="B122" s="27">
        <v>3</v>
      </c>
      <c r="I122" s="15" t="s">
        <v>147</v>
      </c>
      <c r="J122" s="22">
        <v>188.89</v>
      </c>
      <c r="K122" s="27">
        <v>188.89</v>
      </c>
    </row>
    <row r="123" spans="1:11" x14ac:dyDescent="0.3">
      <c r="A123" s="15" t="s">
        <v>141</v>
      </c>
      <c r="B123" s="27">
        <v>0</v>
      </c>
      <c r="I123" s="15" t="s">
        <v>141</v>
      </c>
      <c r="J123" s="22">
        <v>166.67</v>
      </c>
      <c r="K123" s="27">
        <v>166.67</v>
      </c>
    </row>
    <row r="124" spans="1:11" x14ac:dyDescent="0.3">
      <c r="A124" s="15" t="s">
        <v>339</v>
      </c>
      <c r="B124" s="27">
        <v>4</v>
      </c>
      <c r="I124" s="15" t="s">
        <v>339</v>
      </c>
      <c r="J124" s="22">
        <v>193.33333333333334</v>
      </c>
      <c r="K124" s="27">
        <v>580</v>
      </c>
    </row>
    <row r="125" spans="1:11" x14ac:dyDescent="0.3">
      <c r="A125" s="12" t="s">
        <v>100</v>
      </c>
      <c r="B125" s="27"/>
      <c r="I125" s="12" t="s">
        <v>100</v>
      </c>
      <c r="J125" s="27"/>
      <c r="K125" s="27"/>
    </row>
    <row r="126" spans="1:11" x14ac:dyDescent="0.3">
      <c r="A126" s="13" t="s">
        <v>17</v>
      </c>
      <c r="B126" s="27"/>
      <c r="I126" s="13" t="s">
        <v>17</v>
      </c>
      <c r="J126" s="27"/>
      <c r="K126" s="27"/>
    </row>
    <row r="127" spans="1:11" x14ac:dyDescent="0.3">
      <c r="A127" s="15" t="s">
        <v>123</v>
      </c>
      <c r="B127" s="27">
        <v>1</v>
      </c>
      <c r="I127" s="15" t="s">
        <v>123</v>
      </c>
      <c r="J127" s="22">
        <v>0</v>
      </c>
      <c r="K127" s="27">
        <v>0</v>
      </c>
    </row>
    <row r="128" spans="1:11" x14ac:dyDescent="0.3">
      <c r="A128" s="15" t="s">
        <v>153</v>
      </c>
      <c r="B128" s="27">
        <v>4</v>
      </c>
      <c r="I128" s="15" t="s">
        <v>153</v>
      </c>
      <c r="J128" s="22">
        <v>0</v>
      </c>
      <c r="K128" s="27">
        <v>0</v>
      </c>
    </row>
    <row r="129" spans="1:11" x14ac:dyDescent="0.3">
      <c r="A129" s="15" t="s">
        <v>339</v>
      </c>
      <c r="B129" s="27">
        <v>1</v>
      </c>
      <c r="I129" s="15" t="s">
        <v>339</v>
      </c>
      <c r="J129" s="22">
        <v>0</v>
      </c>
      <c r="K129" s="27">
        <v>0</v>
      </c>
    </row>
    <row r="130" spans="1:11" x14ac:dyDescent="0.3">
      <c r="A130" s="12" t="s">
        <v>34</v>
      </c>
      <c r="B130" s="27"/>
      <c r="I130" s="12" t="s">
        <v>34</v>
      </c>
      <c r="J130" s="27"/>
      <c r="K130" s="27"/>
    </row>
    <row r="131" spans="1:11" x14ac:dyDescent="0.3">
      <c r="A131" s="13" t="s">
        <v>17</v>
      </c>
      <c r="B131" s="27"/>
      <c r="I131" s="13" t="s">
        <v>17</v>
      </c>
      <c r="J131" s="27"/>
      <c r="K131" s="27"/>
    </row>
    <row r="132" spans="1:11" x14ac:dyDescent="0.3">
      <c r="A132" s="15" t="s">
        <v>117</v>
      </c>
      <c r="B132" s="27">
        <v>7</v>
      </c>
      <c r="I132" s="15" t="s">
        <v>117</v>
      </c>
      <c r="J132" s="22">
        <v>0</v>
      </c>
      <c r="K132" s="27">
        <v>0</v>
      </c>
    </row>
    <row r="133" spans="1:11" x14ac:dyDescent="0.3">
      <c r="A133" s="15" t="s">
        <v>111</v>
      </c>
      <c r="B133" s="27">
        <v>3</v>
      </c>
      <c r="I133" s="15" t="s">
        <v>111</v>
      </c>
      <c r="J133" s="22">
        <v>0</v>
      </c>
      <c r="K133" s="27">
        <v>0</v>
      </c>
    </row>
    <row r="134" spans="1:11" x14ac:dyDescent="0.3">
      <c r="A134" s="15" t="s">
        <v>339</v>
      </c>
      <c r="B134" s="27">
        <v>7</v>
      </c>
      <c r="I134" s="15" t="s">
        <v>339</v>
      </c>
      <c r="J134" s="22">
        <v>0</v>
      </c>
      <c r="K134" s="27">
        <v>0</v>
      </c>
    </row>
    <row r="135" spans="1:11" x14ac:dyDescent="0.3">
      <c r="A135" s="12" t="s">
        <v>51</v>
      </c>
      <c r="B135" s="27"/>
      <c r="I135" s="12" t="s">
        <v>51</v>
      </c>
      <c r="J135" s="27"/>
      <c r="K135" s="27"/>
    </row>
    <row r="136" spans="1:11" x14ac:dyDescent="0.3">
      <c r="A136" s="13" t="s">
        <v>21</v>
      </c>
      <c r="B136" s="27"/>
      <c r="I136" s="13" t="s">
        <v>21</v>
      </c>
      <c r="J136" s="27"/>
      <c r="K136" s="27"/>
    </row>
    <row r="137" spans="1:11" x14ac:dyDescent="0.3">
      <c r="A137" s="15" t="s">
        <v>123</v>
      </c>
      <c r="B137" s="27">
        <v>0</v>
      </c>
      <c r="I137" s="15" t="s">
        <v>123</v>
      </c>
      <c r="J137" s="22">
        <v>200</v>
      </c>
      <c r="K137" s="27">
        <v>200</v>
      </c>
    </row>
    <row r="138" spans="1:11" x14ac:dyDescent="0.3">
      <c r="A138" s="12" t="s">
        <v>48</v>
      </c>
      <c r="B138" s="27"/>
      <c r="I138" s="12" t="s">
        <v>48</v>
      </c>
      <c r="J138" s="27"/>
      <c r="K138" s="27"/>
    </row>
    <row r="139" spans="1:11" x14ac:dyDescent="0.3">
      <c r="A139" s="13" t="s">
        <v>26</v>
      </c>
      <c r="B139" s="27"/>
      <c r="I139" s="13" t="s">
        <v>26</v>
      </c>
      <c r="J139" s="27"/>
      <c r="K139" s="27"/>
    </row>
    <row r="140" spans="1:11" x14ac:dyDescent="0.3">
      <c r="A140" s="15" t="s">
        <v>117</v>
      </c>
      <c r="B140" s="27">
        <v>2</v>
      </c>
      <c r="I140" s="15" t="s">
        <v>117</v>
      </c>
      <c r="J140" s="22">
        <v>0</v>
      </c>
      <c r="K140" s="27">
        <v>0</v>
      </c>
    </row>
    <row r="141" spans="1:11" x14ac:dyDescent="0.3">
      <c r="A141" s="15" t="s">
        <v>141</v>
      </c>
      <c r="B141" s="27">
        <v>0</v>
      </c>
      <c r="I141" s="15" t="s">
        <v>141</v>
      </c>
      <c r="J141" s="22">
        <v>165</v>
      </c>
      <c r="K141" s="27">
        <v>165</v>
      </c>
    </row>
    <row r="142" spans="1:11" x14ac:dyDescent="0.3">
      <c r="A142" s="15" t="s">
        <v>123</v>
      </c>
      <c r="B142" s="27">
        <v>0</v>
      </c>
      <c r="I142" s="15" t="s">
        <v>123</v>
      </c>
      <c r="J142" s="22">
        <v>170</v>
      </c>
      <c r="K142" s="27">
        <v>170</v>
      </c>
    </row>
    <row r="143" spans="1:11" x14ac:dyDescent="0.3">
      <c r="A143" s="15" t="s">
        <v>339</v>
      </c>
      <c r="B143" s="27">
        <v>0</v>
      </c>
      <c r="I143" s="15" t="s">
        <v>339</v>
      </c>
      <c r="J143" s="22">
        <v>200</v>
      </c>
      <c r="K143" s="27">
        <v>200</v>
      </c>
    </row>
    <row r="144" spans="1:11" x14ac:dyDescent="0.3">
      <c r="A144" s="12" t="s">
        <v>28</v>
      </c>
      <c r="B144" s="27"/>
      <c r="I144" s="12" t="s">
        <v>28</v>
      </c>
      <c r="J144" s="27"/>
      <c r="K144" s="27"/>
    </row>
    <row r="145" spans="1:11" x14ac:dyDescent="0.3">
      <c r="A145" s="13" t="s">
        <v>26</v>
      </c>
      <c r="B145" s="27"/>
      <c r="I145" s="13" t="s">
        <v>26</v>
      </c>
      <c r="J145" s="27"/>
      <c r="K145" s="27"/>
    </row>
    <row r="146" spans="1:11" x14ac:dyDescent="0.3">
      <c r="A146" s="15" t="s">
        <v>111</v>
      </c>
      <c r="B146" s="27">
        <v>2</v>
      </c>
      <c r="I146" s="15" t="s">
        <v>111</v>
      </c>
      <c r="J146" s="22">
        <v>145</v>
      </c>
      <c r="K146" s="27">
        <v>290</v>
      </c>
    </row>
    <row r="147" spans="1:11" x14ac:dyDescent="0.3">
      <c r="A147" s="15" t="s">
        <v>147</v>
      </c>
      <c r="B147" s="27">
        <v>1</v>
      </c>
      <c r="I147" s="15" t="s">
        <v>147</v>
      </c>
      <c r="J147" s="22">
        <v>138.88999999999999</v>
      </c>
      <c r="K147" s="27">
        <v>138.88999999999999</v>
      </c>
    </row>
    <row r="148" spans="1:11" x14ac:dyDescent="0.3">
      <c r="A148" s="15" t="s">
        <v>339</v>
      </c>
      <c r="B148" s="27">
        <v>3</v>
      </c>
      <c r="I148" s="15" t="s">
        <v>339</v>
      </c>
      <c r="J148" s="22">
        <v>163.33500000000001</v>
      </c>
      <c r="K148" s="27">
        <v>326.67</v>
      </c>
    </row>
    <row r="149" spans="1:11" x14ac:dyDescent="0.3">
      <c r="A149" s="12" t="s">
        <v>102</v>
      </c>
      <c r="B149" s="27"/>
      <c r="I149" s="12" t="s">
        <v>102</v>
      </c>
      <c r="J149" s="27"/>
      <c r="K149" s="27"/>
    </row>
    <row r="150" spans="1:11" x14ac:dyDescent="0.3">
      <c r="A150" s="13" t="s">
        <v>21</v>
      </c>
      <c r="B150" s="27"/>
      <c r="I150" s="13" t="s">
        <v>21</v>
      </c>
      <c r="J150" s="27"/>
      <c r="K150" s="27"/>
    </row>
    <row r="151" spans="1:11" x14ac:dyDescent="0.3">
      <c r="A151" s="15" t="s">
        <v>129</v>
      </c>
      <c r="B151" s="27">
        <v>0</v>
      </c>
      <c r="I151" s="15" t="s">
        <v>129</v>
      </c>
      <c r="J151" s="22">
        <v>200</v>
      </c>
      <c r="K151" s="27">
        <v>200</v>
      </c>
    </row>
    <row r="152" spans="1:11" x14ac:dyDescent="0.3">
      <c r="A152" s="15" t="s">
        <v>111</v>
      </c>
      <c r="B152" s="27">
        <v>0</v>
      </c>
      <c r="I152" s="15" t="s">
        <v>111</v>
      </c>
      <c r="J152" s="22">
        <v>200</v>
      </c>
      <c r="K152" s="27">
        <v>200</v>
      </c>
    </row>
    <row r="153" spans="1:11" x14ac:dyDescent="0.3">
      <c r="A153" s="15" t="s">
        <v>153</v>
      </c>
      <c r="B153" s="27">
        <v>0</v>
      </c>
      <c r="I153" s="15" t="s">
        <v>153</v>
      </c>
      <c r="J153" s="22">
        <v>183.33</v>
      </c>
      <c r="K153" s="27">
        <v>183.33</v>
      </c>
    </row>
    <row r="154" spans="1:11" x14ac:dyDescent="0.3">
      <c r="A154" s="15" t="s">
        <v>339</v>
      </c>
      <c r="B154" s="27">
        <v>0</v>
      </c>
      <c r="I154" s="15" t="s">
        <v>339</v>
      </c>
      <c r="J154" s="22">
        <v>187.7475</v>
      </c>
      <c r="K154" s="27">
        <v>750.99</v>
      </c>
    </row>
    <row r="155" spans="1:11" x14ac:dyDescent="0.3">
      <c r="A155" s="12" t="s">
        <v>16</v>
      </c>
      <c r="B155" s="27"/>
      <c r="I155" s="12" t="s">
        <v>16</v>
      </c>
      <c r="J155" s="27"/>
      <c r="K155" s="27"/>
    </row>
    <row r="156" spans="1:11" x14ac:dyDescent="0.3">
      <c r="A156" s="13" t="s">
        <v>17</v>
      </c>
      <c r="B156" s="27"/>
      <c r="I156" s="13" t="s">
        <v>17</v>
      </c>
      <c r="J156" s="27"/>
      <c r="K156" s="27"/>
    </row>
    <row r="157" spans="1:11" x14ac:dyDescent="0.3">
      <c r="A157" s="15" t="s">
        <v>117</v>
      </c>
      <c r="B157" s="27">
        <v>1</v>
      </c>
      <c r="I157" s="15" t="s">
        <v>117</v>
      </c>
      <c r="J157" s="22">
        <v>0</v>
      </c>
      <c r="K157" s="27">
        <v>0</v>
      </c>
    </row>
    <row r="158" spans="1:11" x14ac:dyDescent="0.3">
      <c r="A158" s="15" t="s">
        <v>111</v>
      </c>
      <c r="B158" s="27">
        <v>5</v>
      </c>
      <c r="I158" s="15" t="s">
        <v>111</v>
      </c>
      <c r="J158" s="22">
        <v>0</v>
      </c>
      <c r="K158" s="27">
        <v>0</v>
      </c>
    </row>
    <row r="159" spans="1:11" x14ac:dyDescent="0.3">
      <c r="A159" s="15" t="s">
        <v>141</v>
      </c>
      <c r="B159" s="27">
        <v>3</v>
      </c>
      <c r="I159" s="15" t="s">
        <v>141</v>
      </c>
      <c r="J159" s="22">
        <v>0</v>
      </c>
      <c r="K159" s="27">
        <v>0</v>
      </c>
    </row>
    <row r="160" spans="1:11" x14ac:dyDescent="0.3">
      <c r="A160" s="15" t="s">
        <v>123</v>
      </c>
      <c r="B160" s="27">
        <v>3</v>
      </c>
      <c r="I160" s="15" t="s">
        <v>123</v>
      </c>
      <c r="J160" s="22">
        <v>0</v>
      </c>
      <c r="K160" s="27">
        <v>0</v>
      </c>
    </row>
    <row r="161" spans="1:11" x14ac:dyDescent="0.3">
      <c r="A161" s="15" t="s">
        <v>153</v>
      </c>
      <c r="B161" s="27">
        <v>2</v>
      </c>
      <c r="I161" s="15" t="s">
        <v>153</v>
      </c>
      <c r="J161" s="22">
        <v>0</v>
      </c>
      <c r="K161" s="27">
        <v>0</v>
      </c>
    </row>
    <row r="162" spans="1:11" x14ac:dyDescent="0.3">
      <c r="A162" s="15" t="s">
        <v>339</v>
      </c>
      <c r="B162" s="27">
        <v>11</v>
      </c>
      <c r="I162" s="15" t="s">
        <v>339</v>
      </c>
      <c r="J162" s="22">
        <v>0</v>
      </c>
      <c r="K162" s="27">
        <v>0</v>
      </c>
    </row>
    <row r="163" spans="1:11" x14ac:dyDescent="0.3">
      <c r="A163" s="12" t="s">
        <v>92</v>
      </c>
      <c r="B163" s="27"/>
      <c r="I163" s="12" t="s">
        <v>92</v>
      </c>
      <c r="J163" s="27"/>
      <c r="K163" s="27"/>
    </row>
    <row r="164" spans="1:11" x14ac:dyDescent="0.3">
      <c r="A164" s="13" t="s">
        <v>21</v>
      </c>
      <c r="B164" s="27"/>
      <c r="I164" s="13" t="s">
        <v>21</v>
      </c>
      <c r="J164" s="27"/>
      <c r="K164" s="27"/>
    </row>
    <row r="165" spans="1:11" x14ac:dyDescent="0.3">
      <c r="A165" s="15" t="s">
        <v>147</v>
      </c>
      <c r="B165" s="27">
        <v>0</v>
      </c>
      <c r="I165" s="15" t="s">
        <v>147</v>
      </c>
      <c r="J165" s="22">
        <v>85.71</v>
      </c>
      <c r="K165" s="27">
        <v>85.71</v>
      </c>
    </row>
    <row r="166" spans="1:11" x14ac:dyDescent="0.3">
      <c r="A166" s="15" t="s">
        <v>153</v>
      </c>
      <c r="B166" s="27">
        <v>0</v>
      </c>
      <c r="I166" s="15" t="s">
        <v>153</v>
      </c>
      <c r="J166" s="22">
        <v>166.67</v>
      </c>
      <c r="K166" s="27">
        <v>166.67</v>
      </c>
    </row>
    <row r="167" spans="1:11" x14ac:dyDescent="0.3">
      <c r="A167" s="12" t="s">
        <v>75</v>
      </c>
      <c r="B167" s="27"/>
      <c r="I167" s="12" t="s">
        <v>75</v>
      </c>
      <c r="J167" s="27"/>
      <c r="K167" s="27"/>
    </row>
    <row r="168" spans="1:11" x14ac:dyDescent="0.3">
      <c r="A168" s="13" t="s">
        <v>21</v>
      </c>
      <c r="B168" s="27"/>
      <c r="I168" s="13" t="s">
        <v>21</v>
      </c>
      <c r="J168" s="27"/>
      <c r="K168" s="27"/>
    </row>
    <row r="169" spans="1:11" x14ac:dyDescent="0.3">
      <c r="A169" s="15" t="s">
        <v>117</v>
      </c>
      <c r="B169" s="27">
        <v>0</v>
      </c>
      <c r="I169" s="15" t="s">
        <v>117</v>
      </c>
      <c r="J169" s="22">
        <v>142.86000000000001</v>
      </c>
      <c r="K169" s="27">
        <v>142.86000000000001</v>
      </c>
    </row>
    <row r="170" spans="1:11" x14ac:dyDescent="0.3">
      <c r="A170" s="15" t="s">
        <v>141</v>
      </c>
      <c r="B170" s="27">
        <v>0</v>
      </c>
      <c r="I170" s="15" t="s">
        <v>141</v>
      </c>
      <c r="J170" s="22">
        <v>167.69</v>
      </c>
      <c r="K170" s="27">
        <v>335.38</v>
      </c>
    </row>
    <row r="171" spans="1:11" x14ac:dyDescent="0.3">
      <c r="A171" s="15" t="s">
        <v>123</v>
      </c>
      <c r="B171" s="27">
        <v>0</v>
      </c>
      <c r="I171" s="15" t="s">
        <v>123</v>
      </c>
      <c r="J171" s="22">
        <v>162.5</v>
      </c>
      <c r="K171" s="27">
        <v>162.5</v>
      </c>
    </row>
    <row r="172" spans="1:11" x14ac:dyDescent="0.3">
      <c r="A172" s="15" t="s">
        <v>339</v>
      </c>
      <c r="B172" s="27">
        <v>0</v>
      </c>
      <c r="I172" s="15" t="s">
        <v>339</v>
      </c>
      <c r="J172" s="22">
        <v>179.00749999999999</v>
      </c>
      <c r="K172" s="27">
        <v>716.03</v>
      </c>
    </row>
    <row r="173" spans="1:11" x14ac:dyDescent="0.3">
      <c r="A173" s="12" t="s">
        <v>94</v>
      </c>
      <c r="B173" s="27"/>
      <c r="I173" s="12" t="s">
        <v>94</v>
      </c>
      <c r="J173" s="27"/>
      <c r="K173" s="27"/>
    </row>
    <row r="174" spans="1:11" x14ac:dyDescent="0.3">
      <c r="A174" s="13" t="s">
        <v>17</v>
      </c>
      <c r="B174" s="27"/>
      <c r="I174" s="13" t="s">
        <v>17</v>
      </c>
      <c r="J174" s="27"/>
      <c r="K174" s="27"/>
    </row>
    <row r="175" spans="1:11" x14ac:dyDescent="0.3">
      <c r="A175" s="15" t="s">
        <v>147</v>
      </c>
      <c r="B175" s="27">
        <v>3</v>
      </c>
      <c r="I175" s="15" t="s">
        <v>147</v>
      </c>
      <c r="J175" s="22">
        <v>0</v>
      </c>
      <c r="K175" s="27">
        <v>0</v>
      </c>
    </row>
    <row r="176" spans="1:11" x14ac:dyDescent="0.3">
      <c r="A176" s="15" t="s">
        <v>339</v>
      </c>
      <c r="B176" s="27">
        <v>3</v>
      </c>
      <c r="I176" s="15" t="s">
        <v>339</v>
      </c>
      <c r="J176" s="22">
        <v>0</v>
      </c>
      <c r="K176" s="27">
        <v>0</v>
      </c>
    </row>
    <row r="177" spans="1:11" x14ac:dyDescent="0.3">
      <c r="A177" s="12" t="s">
        <v>86</v>
      </c>
      <c r="B177" s="27"/>
      <c r="I177" s="12" t="s">
        <v>86</v>
      </c>
      <c r="J177" s="27"/>
      <c r="K177" s="27"/>
    </row>
    <row r="178" spans="1:11" x14ac:dyDescent="0.3">
      <c r="A178" s="13" t="s">
        <v>26</v>
      </c>
      <c r="B178" s="27"/>
      <c r="I178" s="13" t="s">
        <v>26</v>
      </c>
      <c r="J178" s="27"/>
      <c r="K178" s="27"/>
    </row>
    <row r="179" spans="1:11" x14ac:dyDescent="0.3">
      <c r="A179" s="15" t="s">
        <v>117</v>
      </c>
      <c r="B179" s="27">
        <v>0</v>
      </c>
      <c r="I179" s="15" t="s">
        <v>117</v>
      </c>
      <c r="J179" s="22">
        <v>140</v>
      </c>
      <c r="K179" s="27">
        <v>140</v>
      </c>
    </row>
    <row r="180" spans="1:11" x14ac:dyDescent="0.3">
      <c r="A180" s="15" t="s">
        <v>147</v>
      </c>
      <c r="B180" s="27">
        <v>0</v>
      </c>
      <c r="I180" s="15" t="s">
        <v>147</v>
      </c>
      <c r="J180" s="22">
        <v>154.76499999999999</v>
      </c>
      <c r="K180" s="27">
        <v>309.52999999999997</v>
      </c>
    </row>
    <row r="181" spans="1:11" x14ac:dyDescent="0.3">
      <c r="A181" s="15" t="s">
        <v>123</v>
      </c>
      <c r="B181" s="27">
        <v>0</v>
      </c>
      <c r="I181" s="15" t="s">
        <v>123</v>
      </c>
      <c r="J181" s="22">
        <v>166.67</v>
      </c>
      <c r="K181" s="27">
        <v>166.67</v>
      </c>
    </row>
    <row r="182" spans="1:11" x14ac:dyDescent="0.3">
      <c r="A182" s="15" t="s">
        <v>339</v>
      </c>
      <c r="B182" s="27">
        <v>0</v>
      </c>
      <c r="I182" s="15" t="s">
        <v>339</v>
      </c>
      <c r="J182" s="22">
        <v>156.25</v>
      </c>
      <c r="K182" s="27">
        <v>312.5</v>
      </c>
    </row>
    <row r="183" spans="1:11" x14ac:dyDescent="0.3">
      <c r="A183" s="12" t="s">
        <v>40</v>
      </c>
      <c r="B183" s="27"/>
      <c r="I183" s="12" t="s">
        <v>40</v>
      </c>
      <c r="J183" s="27"/>
      <c r="K183" s="27"/>
    </row>
    <row r="184" spans="1:11" x14ac:dyDescent="0.3">
      <c r="A184" s="13" t="s">
        <v>17</v>
      </c>
      <c r="B184" s="27"/>
      <c r="I184" s="13" t="s">
        <v>17</v>
      </c>
      <c r="J184" s="27"/>
      <c r="K184" s="27"/>
    </row>
    <row r="185" spans="1:11" x14ac:dyDescent="0.3">
      <c r="A185" s="15" t="s">
        <v>129</v>
      </c>
      <c r="B185" s="27">
        <v>3</v>
      </c>
      <c r="I185" s="15" t="s">
        <v>129</v>
      </c>
      <c r="J185" s="22">
        <v>0</v>
      </c>
      <c r="K185" s="27">
        <v>0</v>
      </c>
    </row>
    <row r="186" spans="1:11" x14ac:dyDescent="0.3">
      <c r="A186" s="12" t="s">
        <v>70</v>
      </c>
      <c r="B186" s="27"/>
      <c r="I186" s="12" t="s">
        <v>70</v>
      </c>
      <c r="J186" s="27"/>
      <c r="K186" s="27"/>
    </row>
    <row r="187" spans="1:11" x14ac:dyDescent="0.3">
      <c r="A187" s="13" t="s">
        <v>26</v>
      </c>
      <c r="B187" s="27"/>
      <c r="I187" s="13" t="s">
        <v>26</v>
      </c>
      <c r="J187" s="27"/>
      <c r="K187" s="27"/>
    </row>
    <row r="188" spans="1:11" x14ac:dyDescent="0.3">
      <c r="A188" s="15" t="s">
        <v>117</v>
      </c>
      <c r="B188" s="27">
        <v>1</v>
      </c>
      <c r="I188" s="15" t="s">
        <v>117</v>
      </c>
      <c r="J188" s="22">
        <v>75</v>
      </c>
      <c r="K188" s="27">
        <v>150</v>
      </c>
    </row>
    <row r="189" spans="1:11" x14ac:dyDescent="0.3">
      <c r="A189" s="15" t="s">
        <v>147</v>
      </c>
      <c r="B189" s="27">
        <v>0</v>
      </c>
      <c r="I189" s="15" t="s">
        <v>147</v>
      </c>
      <c r="J189" s="22">
        <v>166.67</v>
      </c>
      <c r="K189" s="27">
        <v>166.67</v>
      </c>
    </row>
    <row r="190" spans="1:11" x14ac:dyDescent="0.3">
      <c r="A190" s="15" t="s">
        <v>123</v>
      </c>
      <c r="B190" s="27">
        <v>1</v>
      </c>
      <c r="I190" s="15" t="s">
        <v>123</v>
      </c>
      <c r="J190" s="22">
        <v>0</v>
      </c>
      <c r="K190" s="27">
        <v>0</v>
      </c>
    </row>
    <row r="191" spans="1:11" x14ac:dyDescent="0.3">
      <c r="A191" s="15" t="s">
        <v>339</v>
      </c>
      <c r="B191" s="27">
        <v>0</v>
      </c>
      <c r="I191" s="15" t="s">
        <v>339</v>
      </c>
      <c r="J191" s="22">
        <v>177.38</v>
      </c>
      <c r="K191" s="27">
        <v>354.76</v>
      </c>
    </row>
    <row r="192" spans="1:11" x14ac:dyDescent="0.3">
      <c r="A192" s="12" t="s">
        <v>46</v>
      </c>
      <c r="B192" s="27"/>
      <c r="I192" s="12" t="s">
        <v>46</v>
      </c>
      <c r="J192" s="27"/>
      <c r="K192" s="27"/>
    </row>
    <row r="193" spans="1:11" x14ac:dyDescent="0.3">
      <c r="A193" s="13" t="s">
        <v>17</v>
      </c>
      <c r="B193" s="27"/>
      <c r="I193" s="13" t="s">
        <v>17</v>
      </c>
      <c r="J193" s="27"/>
      <c r="K193" s="27"/>
    </row>
    <row r="194" spans="1:11" x14ac:dyDescent="0.3">
      <c r="A194" s="15" t="s">
        <v>111</v>
      </c>
      <c r="B194" s="27">
        <v>3</v>
      </c>
      <c r="I194" s="15" t="s">
        <v>111</v>
      </c>
      <c r="J194" s="22">
        <v>0</v>
      </c>
      <c r="K194" s="27">
        <v>0</v>
      </c>
    </row>
    <row r="195" spans="1:11" x14ac:dyDescent="0.3">
      <c r="A195" s="15" t="s">
        <v>123</v>
      </c>
      <c r="B195" s="27">
        <v>1</v>
      </c>
      <c r="I195" s="15" t="s">
        <v>123</v>
      </c>
      <c r="J195" s="22">
        <v>138.88999999999999</v>
      </c>
      <c r="K195" s="27">
        <v>138.88999999999999</v>
      </c>
    </row>
    <row r="196" spans="1:11" x14ac:dyDescent="0.3">
      <c r="A196" s="15" t="s">
        <v>153</v>
      </c>
      <c r="B196" s="27">
        <v>1</v>
      </c>
      <c r="I196" s="15" t="s">
        <v>153</v>
      </c>
      <c r="J196" s="22">
        <v>0</v>
      </c>
      <c r="K196" s="27">
        <v>0</v>
      </c>
    </row>
    <row r="197" spans="1:11" x14ac:dyDescent="0.3">
      <c r="A197" s="15" t="s">
        <v>339</v>
      </c>
      <c r="B197" s="27">
        <v>4</v>
      </c>
      <c r="I197" s="15" t="s">
        <v>339</v>
      </c>
      <c r="J197" s="22">
        <v>0</v>
      </c>
      <c r="K197" s="27">
        <v>0</v>
      </c>
    </row>
    <row r="198" spans="1:11" x14ac:dyDescent="0.3">
      <c r="A198" s="12" t="s">
        <v>53</v>
      </c>
      <c r="B198" s="27"/>
      <c r="I198" s="12" t="s">
        <v>53</v>
      </c>
      <c r="J198" s="27"/>
      <c r="K198" s="27"/>
    </row>
    <row r="199" spans="1:11" x14ac:dyDescent="0.3">
      <c r="A199" s="13" t="s">
        <v>11</v>
      </c>
      <c r="B199" s="27"/>
      <c r="I199" s="13" t="s">
        <v>11</v>
      </c>
      <c r="J199" s="27"/>
      <c r="K199" s="27"/>
    </row>
    <row r="200" spans="1:11" x14ac:dyDescent="0.3">
      <c r="A200" s="15" t="s">
        <v>117</v>
      </c>
      <c r="B200" s="27">
        <v>0</v>
      </c>
      <c r="I200" s="15" t="s">
        <v>117</v>
      </c>
      <c r="J200" s="22">
        <v>188.89</v>
      </c>
      <c r="K200" s="27">
        <v>188.89</v>
      </c>
    </row>
    <row r="201" spans="1:11" x14ac:dyDescent="0.3">
      <c r="A201" s="15" t="s">
        <v>129</v>
      </c>
      <c r="B201" s="27">
        <v>0</v>
      </c>
      <c r="I201" s="15" t="s">
        <v>129</v>
      </c>
      <c r="J201" s="22">
        <v>139.17500000000001</v>
      </c>
      <c r="K201" s="27">
        <v>556.70000000000005</v>
      </c>
    </row>
    <row r="202" spans="1:11" x14ac:dyDescent="0.3">
      <c r="A202" s="15" t="s">
        <v>111</v>
      </c>
      <c r="B202" s="27">
        <v>0</v>
      </c>
      <c r="I202" s="15" t="s">
        <v>111</v>
      </c>
      <c r="J202" s="22">
        <v>125</v>
      </c>
      <c r="K202" s="27">
        <v>125</v>
      </c>
    </row>
    <row r="203" spans="1:11" x14ac:dyDescent="0.3">
      <c r="A203" s="15" t="s">
        <v>339</v>
      </c>
      <c r="B203" s="27">
        <v>0</v>
      </c>
      <c r="I203" s="15" t="s">
        <v>339</v>
      </c>
      <c r="J203" s="22">
        <v>164.58500000000001</v>
      </c>
      <c r="K203" s="27">
        <v>329.17</v>
      </c>
    </row>
    <row r="204" spans="1:11" x14ac:dyDescent="0.3">
      <c r="A204" s="12" t="s">
        <v>31</v>
      </c>
      <c r="B204" s="27"/>
      <c r="I204" s="12" t="s">
        <v>31</v>
      </c>
      <c r="J204" s="27"/>
      <c r="K204" s="27"/>
    </row>
    <row r="205" spans="1:11" x14ac:dyDescent="0.3">
      <c r="A205" s="13" t="s">
        <v>26</v>
      </c>
      <c r="B205" s="27"/>
      <c r="I205" s="13" t="s">
        <v>26</v>
      </c>
      <c r="J205" s="27"/>
      <c r="K205" s="27"/>
    </row>
    <row r="206" spans="1:11" x14ac:dyDescent="0.3">
      <c r="A206" s="15" t="s">
        <v>117</v>
      </c>
      <c r="B206" s="27">
        <v>0</v>
      </c>
      <c r="I206" s="15" t="s">
        <v>117</v>
      </c>
      <c r="J206" s="22">
        <v>181.94333333333336</v>
      </c>
      <c r="K206" s="27">
        <v>545.83000000000004</v>
      </c>
    </row>
    <row r="207" spans="1:11" x14ac:dyDescent="0.3">
      <c r="A207" s="15" t="s">
        <v>147</v>
      </c>
      <c r="B207" s="27">
        <v>0</v>
      </c>
      <c r="I207" s="15" t="s">
        <v>147</v>
      </c>
      <c r="J207" s="22">
        <v>133.33000000000001</v>
      </c>
      <c r="K207" s="27">
        <v>133.33000000000001</v>
      </c>
    </row>
    <row r="208" spans="1:11" x14ac:dyDescent="0.3">
      <c r="A208" s="15" t="s">
        <v>339</v>
      </c>
      <c r="B208" s="27">
        <v>0</v>
      </c>
      <c r="I208" s="15" t="s">
        <v>339</v>
      </c>
      <c r="J208" s="22">
        <v>176.05250000000001</v>
      </c>
      <c r="K208" s="27">
        <v>704.21</v>
      </c>
    </row>
    <row r="209" spans="1:11" x14ac:dyDescent="0.3">
      <c r="A209" s="12" t="s">
        <v>25</v>
      </c>
      <c r="B209" s="27"/>
      <c r="I209" s="12" t="s">
        <v>25</v>
      </c>
      <c r="J209" s="27"/>
      <c r="K209" s="27"/>
    </row>
    <row r="210" spans="1:11" x14ac:dyDescent="0.3">
      <c r="A210" s="13" t="s">
        <v>26</v>
      </c>
      <c r="B210" s="27"/>
      <c r="I210" s="13" t="s">
        <v>26</v>
      </c>
      <c r="J210" s="27"/>
      <c r="K210" s="27"/>
    </row>
    <row r="211" spans="1:11" x14ac:dyDescent="0.3">
      <c r="A211" s="15" t="s">
        <v>111</v>
      </c>
      <c r="B211" s="27">
        <v>0</v>
      </c>
      <c r="I211" s="15" t="s">
        <v>111</v>
      </c>
      <c r="J211" s="22">
        <v>143.61000000000001</v>
      </c>
      <c r="K211" s="27">
        <v>287.22000000000003</v>
      </c>
    </row>
    <row r="212" spans="1:11" x14ac:dyDescent="0.3">
      <c r="A212" s="15" t="s">
        <v>339</v>
      </c>
      <c r="B212" s="27">
        <v>0</v>
      </c>
      <c r="I212" s="15" t="s">
        <v>339</v>
      </c>
      <c r="J212" s="22">
        <v>166.67</v>
      </c>
      <c r="K212" s="27">
        <v>166.67</v>
      </c>
    </row>
    <row r="213" spans="1:11" x14ac:dyDescent="0.3">
      <c r="A213" s="12" t="s">
        <v>104</v>
      </c>
      <c r="B213" s="27"/>
      <c r="I213" s="12" t="s">
        <v>104</v>
      </c>
      <c r="J213" s="27"/>
      <c r="K213" s="27"/>
    </row>
    <row r="214" spans="1:11" x14ac:dyDescent="0.3">
      <c r="A214" s="13" t="s">
        <v>11</v>
      </c>
      <c r="B214" s="27"/>
      <c r="I214" s="13" t="s">
        <v>11</v>
      </c>
      <c r="J214" s="27"/>
      <c r="K214" s="27"/>
    </row>
    <row r="215" spans="1:11" x14ac:dyDescent="0.3">
      <c r="A215" s="15" t="s">
        <v>147</v>
      </c>
      <c r="B215" s="27">
        <v>0</v>
      </c>
      <c r="I215" s="15" t="s">
        <v>147</v>
      </c>
      <c r="J215" s="22">
        <v>180</v>
      </c>
      <c r="K215" s="27">
        <v>180</v>
      </c>
    </row>
    <row r="216" spans="1:11" x14ac:dyDescent="0.3">
      <c r="A216" s="15" t="s">
        <v>141</v>
      </c>
      <c r="B216" s="27">
        <v>0</v>
      </c>
      <c r="I216" s="15" t="s">
        <v>141</v>
      </c>
      <c r="J216" s="22">
        <v>125</v>
      </c>
      <c r="K216" s="27">
        <v>125</v>
      </c>
    </row>
    <row r="217" spans="1:11" x14ac:dyDescent="0.3">
      <c r="A217" s="15" t="s">
        <v>153</v>
      </c>
      <c r="B217" s="27">
        <v>0</v>
      </c>
      <c r="I217" s="15" t="s">
        <v>153</v>
      </c>
      <c r="J217" s="22">
        <v>163.79</v>
      </c>
      <c r="K217" s="27">
        <v>327.58</v>
      </c>
    </row>
    <row r="218" spans="1:11" x14ac:dyDescent="0.3">
      <c r="A218" s="15" t="s">
        <v>339</v>
      </c>
      <c r="B218" s="27">
        <v>0</v>
      </c>
      <c r="I218" s="15" t="s">
        <v>339</v>
      </c>
      <c r="J218" s="22">
        <v>162.02500000000001</v>
      </c>
      <c r="K218" s="27">
        <v>648.1</v>
      </c>
    </row>
    <row r="219" spans="1:11" x14ac:dyDescent="0.3">
      <c r="A219" s="12" t="s">
        <v>81</v>
      </c>
      <c r="B219" s="27"/>
      <c r="I219" s="12" t="s">
        <v>81</v>
      </c>
      <c r="J219" s="27"/>
      <c r="K219" s="27"/>
    </row>
    <row r="220" spans="1:11" x14ac:dyDescent="0.3">
      <c r="A220" s="13" t="s">
        <v>17</v>
      </c>
      <c r="B220" s="27"/>
      <c r="I220" s="13" t="s">
        <v>17</v>
      </c>
      <c r="J220" s="27"/>
      <c r="K220" s="27"/>
    </row>
    <row r="221" spans="1:11" x14ac:dyDescent="0.3">
      <c r="A221" s="15" t="s">
        <v>141</v>
      </c>
      <c r="B221" s="27">
        <v>4</v>
      </c>
      <c r="I221" s="15" t="s">
        <v>141</v>
      </c>
      <c r="J221" s="22">
        <v>0</v>
      </c>
      <c r="K221" s="27">
        <v>0</v>
      </c>
    </row>
    <row r="222" spans="1:11" x14ac:dyDescent="0.3">
      <c r="A222" s="15" t="s">
        <v>153</v>
      </c>
      <c r="B222" s="27">
        <v>1</v>
      </c>
      <c r="I222" s="15" t="s">
        <v>153</v>
      </c>
      <c r="J222" s="22">
        <v>0</v>
      </c>
      <c r="K222" s="27">
        <v>0</v>
      </c>
    </row>
    <row r="223" spans="1:11" x14ac:dyDescent="0.3">
      <c r="A223" s="15" t="s">
        <v>339</v>
      </c>
      <c r="B223" s="27">
        <v>8</v>
      </c>
      <c r="I223" s="15" t="s">
        <v>339</v>
      </c>
      <c r="J223" s="22">
        <v>0</v>
      </c>
      <c r="K223" s="27">
        <v>0</v>
      </c>
    </row>
    <row r="224" spans="1:11" x14ac:dyDescent="0.3">
      <c r="A224" s="12" t="s">
        <v>61</v>
      </c>
      <c r="B224" s="27"/>
      <c r="I224" s="12" t="s">
        <v>61</v>
      </c>
      <c r="J224" s="27"/>
      <c r="K224" s="27"/>
    </row>
    <row r="225" spans="1:11" x14ac:dyDescent="0.3">
      <c r="A225" s="13" t="s">
        <v>17</v>
      </c>
      <c r="B225" s="27"/>
      <c r="I225" s="13" t="s">
        <v>17</v>
      </c>
      <c r="J225" s="27"/>
      <c r="K225" s="27"/>
    </row>
    <row r="226" spans="1:11" x14ac:dyDescent="0.3">
      <c r="A226" s="15" t="s">
        <v>129</v>
      </c>
      <c r="B226" s="27">
        <v>4</v>
      </c>
      <c r="I226" s="15" t="s">
        <v>129</v>
      </c>
      <c r="J226" s="22">
        <v>0</v>
      </c>
      <c r="K226" s="27">
        <v>0</v>
      </c>
    </row>
    <row r="227" spans="1:11" x14ac:dyDescent="0.3">
      <c r="A227" s="15" t="s">
        <v>153</v>
      </c>
      <c r="B227" s="27">
        <v>4</v>
      </c>
      <c r="I227" s="15" t="s">
        <v>153</v>
      </c>
      <c r="J227" s="22">
        <v>0</v>
      </c>
      <c r="K227" s="27">
        <v>0</v>
      </c>
    </row>
    <row r="228" spans="1:11" x14ac:dyDescent="0.3">
      <c r="A228" s="15" t="s">
        <v>339</v>
      </c>
      <c r="B228" s="27">
        <v>7</v>
      </c>
      <c r="I228" s="15" t="s">
        <v>339</v>
      </c>
      <c r="J228" s="22">
        <v>0</v>
      </c>
      <c r="K228" s="27">
        <v>0</v>
      </c>
    </row>
    <row r="229" spans="1:11" x14ac:dyDescent="0.3">
      <c r="A229" s="12" t="s">
        <v>340</v>
      </c>
      <c r="B229" s="27">
        <v>178</v>
      </c>
      <c r="I229" s="12" t="s">
        <v>340</v>
      </c>
      <c r="J229" s="22">
        <v>106.70771144278606</v>
      </c>
      <c r="K229" s="27">
        <v>21448.25</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F7A3C-5ADF-45CE-99AB-0E5A347546F4}">
  <dimension ref="A1:A5"/>
  <sheetViews>
    <sheetView workbookViewId="0">
      <selection activeCell="V26" sqref="V26"/>
    </sheetView>
  </sheetViews>
  <sheetFormatPr defaultRowHeight="14.4" x14ac:dyDescent="0.3"/>
  <sheetData>
    <row r="1" s="23" customFormat="1" x14ac:dyDescent="0.3"/>
    <row r="2" s="23" customFormat="1" x14ac:dyDescent="0.3"/>
    <row r="3" s="23" customFormat="1" x14ac:dyDescent="0.3"/>
    <row r="4" s="23" customFormat="1" x14ac:dyDescent="0.3"/>
    <row r="5" s="2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A50F-5D13-4A50-9F26-1285711C2B97}">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1780-CC30-46CA-8385-1F5BEEE91D07}">
  <dimension ref="A1:N61"/>
  <sheetViews>
    <sheetView topLeftCell="A2" workbookViewId="0">
      <selection activeCell="E18" sqref="E18"/>
    </sheetView>
  </sheetViews>
  <sheetFormatPr defaultRowHeight="14.4" x14ac:dyDescent="0.3"/>
  <cols>
    <col min="1" max="1" width="10.88671875" bestFit="1" customWidth="1"/>
    <col min="2" max="2" width="10.33203125" bestFit="1" customWidth="1"/>
    <col min="3" max="3" width="10.88671875" bestFit="1" customWidth="1"/>
    <col min="4" max="5" width="11.33203125" bestFit="1" customWidth="1"/>
    <col min="6" max="6" width="13.5546875" bestFit="1" customWidth="1"/>
    <col min="7" max="7" width="15" bestFit="1" customWidth="1"/>
    <col min="8" max="8" width="14.88671875" bestFit="1" customWidth="1"/>
    <col min="9" max="10" width="13.5546875" bestFit="1" customWidth="1"/>
    <col min="11" max="12" width="16.44140625" bestFit="1" customWidth="1"/>
    <col min="13" max="14" width="14.33203125" bestFit="1" customWidth="1"/>
  </cols>
  <sheetData>
    <row r="1" spans="1:14" x14ac:dyDescent="0.3">
      <c r="A1" t="s">
        <v>176</v>
      </c>
      <c r="B1" t="s">
        <v>177</v>
      </c>
      <c r="C1" t="s">
        <v>159</v>
      </c>
      <c r="D1" t="s">
        <v>178</v>
      </c>
      <c r="E1" t="s">
        <v>179</v>
      </c>
      <c r="F1" t="s">
        <v>180</v>
      </c>
      <c r="G1" t="s">
        <v>181</v>
      </c>
      <c r="H1" t="s">
        <v>182</v>
      </c>
      <c r="I1" t="s">
        <v>183</v>
      </c>
      <c r="J1" t="s">
        <v>184</v>
      </c>
      <c r="K1" t="s">
        <v>185</v>
      </c>
      <c r="L1" t="s">
        <v>186</v>
      </c>
      <c r="M1" t="s">
        <v>187</v>
      </c>
      <c r="N1" t="s">
        <v>188</v>
      </c>
    </row>
    <row r="2" spans="1:14" x14ac:dyDescent="0.3">
      <c r="A2" t="s">
        <v>189</v>
      </c>
      <c r="B2" s="1">
        <v>45738</v>
      </c>
      <c r="C2" t="s">
        <v>163</v>
      </c>
      <c r="D2" t="s">
        <v>32</v>
      </c>
      <c r="E2" t="s">
        <v>44</v>
      </c>
      <c r="F2" t="s">
        <v>32</v>
      </c>
      <c r="G2" t="s">
        <v>32</v>
      </c>
      <c r="H2" t="s">
        <v>30</v>
      </c>
      <c r="I2">
        <v>192</v>
      </c>
      <c r="J2">
        <v>174</v>
      </c>
      <c r="K2">
        <v>4</v>
      </c>
      <c r="L2">
        <v>8</v>
      </c>
      <c r="M2">
        <v>20</v>
      </c>
      <c r="N2">
        <v>20</v>
      </c>
    </row>
    <row r="3" spans="1:14" x14ac:dyDescent="0.3">
      <c r="A3" t="s">
        <v>190</v>
      </c>
      <c r="B3" s="1">
        <v>45739</v>
      </c>
      <c r="C3" t="s">
        <v>169</v>
      </c>
      <c r="D3" t="s">
        <v>98</v>
      </c>
      <c r="E3" t="s">
        <v>65</v>
      </c>
      <c r="F3" t="s">
        <v>98</v>
      </c>
      <c r="G3" t="s">
        <v>98</v>
      </c>
      <c r="H3" t="s">
        <v>103</v>
      </c>
      <c r="I3">
        <v>184</v>
      </c>
      <c r="J3">
        <v>183</v>
      </c>
      <c r="K3">
        <v>7</v>
      </c>
      <c r="L3">
        <v>9</v>
      </c>
      <c r="M3">
        <v>20</v>
      </c>
      <c r="N3">
        <v>20</v>
      </c>
    </row>
    <row r="4" spans="1:14" x14ac:dyDescent="0.3">
      <c r="A4" t="s">
        <v>191</v>
      </c>
      <c r="B4" s="1">
        <v>45739</v>
      </c>
      <c r="C4" t="s">
        <v>165</v>
      </c>
      <c r="D4" t="s">
        <v>54</v>
      </c>
      <c r="E4" t="s">
        <v>87</v>
      </c>
      <c r="F4" t="s">
        <v>87</v>
      </c>
      <c r="G4" t="s">
        <v>54</v>
      </c>
      <c r="H4" t="s">
        <v>55</v>
      </c>
      <c r="I4">
        <v>208</v>
      </c>
      <c r="J4">
        <v>198</v>
      </c>
      <c r="K4">
        <v>6</v>
      </c>
      <c r="L4">
        <v>7</v>
      </c>
      <c r="M4">
        <v>20</v>
      </c>
      <c r="N4">
        <v>20</v>
      </c>
    </row>
    <row r="5" spans="1:14" x14ac:dyDescent="0.3">
      <c r="A5" t="s">
        <v>192</v>
      </c>
      <c r="B5" s="1">
        <v>45740</v>
      </c>
      <c r="C5" t="s">
        <v>167</v>
      </c>
      <c r="D5" t="s">
        <v>76</v>
      </c>
      <c r="E5" t="s">
        <v>10</v>
      </c>
      <c r="F5" t="s">
        <v>10</v>
      </c>
      <c r="G5" t="s">
        <v>76</v>
      </c>
      <c r="H5" t="s">
        <v>74</v>
      </c>
      <c r="I5">
        <v>193</v>
      </c>
      <c r="J5">
        <v>165</v>
      </c>
      <c r="K5">
        <v>5</v>
      </c>
      <c r="L5">
        <v>10</v>
      </c>
      <c r="M5">
        <v>20</v>
      </c>
      <c r="N5">
        <v>17.2</v>
      </c>
    </row>
    <row r="6" spans="1:14" x14ac:dyDescent="0.3">
      <c r="A6" t="s">
        <v>193</v>
      </c>
      <c r="B6" s="1">
        <v>45741</v>
      </c>
      <c r="C6" t="s">
        <v>164</v>
      </c>
      <c r="D6" t="s">
        <v>44</v>
      </c>
      <c r="E6" t="s">
        <v>76</v>
      </c>
      <c r="F6" t="s">
        <v>44</v>
      </c>
      <c r="G6" t="s">
        <v>76</v>
      </c>
      <c r="H6" t="s">
        <v>83</v>
      </c>
      <c r="I6">
        <v>181</v>
      </c>
      <c r="J6">
        <v>185</v>
      </c>
      <c r="K6">
        <v>5</v>
      </c>
      <c r="L6">
        <v>4</v>
      </c>
      <c r="M6">
        <v>20</v>
      </c>
      <c r="N6">
        <v>19.3</v>
      </c>
    </row>
    <row r="7" spans="1:14" x14ac:dyDescent="0.3">
      <c r="A7" t="s">
        <v>194</v>
      </c>
      <c r="B7" s="1">
        <v>45742</v>
      </c>
      <c r="C7" t="s">
        <v>166</v>
      </c>
      <c r="D7" t="s">
        <v>65</v>
      </c>
      <c r="E7" t="s">
        <v>54</v>
      </c>
      <c r="F7" t="s">
        <v>65</v>
      </c>
      <c r="G7" t="s">
        <v>54</v>
      </c>
      <c r="H7" t="s">
        <v>58</v>
      </c>
      <c r="I7">
        <v>164</v>
      </c>
      <c r="J7">
        <v>165</v>
      </c>
      <c r="K7">
        <v>8</v>
      </c>
      <c r="L7">
        <v>3</v>
      </c>
      <c r="M7">
        <v>20</v>
      </c>
      <c r="N7">
        <v>18.399999999999999</v>
      </c>
    </row>
    <row r="8" spans="1:14" x14ac:dyDescent="0.3">
      <c r="A8" t="s">
        <v>195</v>
      </c>
      <c r="B8" s="1">
        <v>45743</v>
      </c>
      <c r="C8" t="s">
        <v>163</v>
      </c>
      <c r="D8" t="s">
        <v>32</v>
      </c>
      <c r="E8" t="s">
        <v>87</v>
      </c>
      <c r="F8" t="s">
        <v>87</v>
      </c>
      <c r="G8" t="s">
        <v>32</v>
      </c>
      <c r="H8" t="s">
        <v>33</v>
      </c>
      <c r="I8">
        <v>178</v>
      </c>
      <c r="J8">
        <v>169</v>
      </c>
      <c r="K8">
        <v>6</v>
      </c>
      <c r="L8">
        <v>9</v>
      </c>
      <c r="M8">
        <v>20</v>
      </c>
      <c r="N8">
        <v>20</v>
      </c>
    </row>
    <row r="9" spans="1:14" x14ac:dyDescent="0.3">
      <c r="A9" t="s">
        <v>196</v>
      </c>
      <c r="B9" s="1">
        <v>45744</v>
      </c>
      <c r="C9" t="s">
        <v>162</v>
      </c>
      <c r="D9" t="s">
        <v>10</v>
      </c>
      <c r="E9" t="s">
        <v>98</v>
      </c>
      <c r="F9" t="s">
        <v>10</v>
      </c>
      <c r="G9" t="s">
        <v>98</v>
      </c>
      <c r="H9" t="s">
        <v>101</v>
      </c>
      <c r="I9">
        <v>154</v>
      </c>
      <c r="J9">
        <v>155</v>
      </c>
      <c r="K9">
        <v>10</v>
      </c>
      <c r="L9">
        <v>3</v>
      </c>
      <c r="M9">
        <v>19.5</v>
      </c>
      <c r="N9">
        <v>17</v>
      </c>
    </row>
    <row r="10" spans="1:14" x14ac:dyDescent="0.3">
      <c r="A10" t="s">
        <v>197</v>
      </c>
      <c r="B10" s="1">
        <v>45745</v>
      </c>
      <c r="C10" t="s">
        <v>165</v>
      </c>
      <c r="D10" t="s">
        <v>54</v>
      </c>
      <c r="E10" t="s">
        <v>44</v>
      </c>
      <c r="F10" t="s">
        <v>44</v>
      </c>
      <c r="G10" t="s">
        <v>54</v>
      </c>
      <c r="H10" t="s">
        <v>60</v>
      </c>
      <c r="I10">
        <v>171</v>
      </c>
      <c r="J10">
        <v>156</v>
      </c>
      <c r="K10">
        <v>5</v>
      </c>
      <c r="L10">
        <v>9</v>
      </c>
      <c r="M10">
        <v>20</v>
      </c>
      <c r="N10">
        <v>18.3</v>
      </c>
    </row>
    <row r="11" spans="1:14" x14ac:dyDescent="0.3">
      <c r="A11" t="s">
        <v>198</v>
      </c>
      <c r="B11" s="1">
        <v>45746</v>
      </c>
      <c r="C11" t="s">
        <v>167</v>
      </c>
      <c r="D11" t="s">
        <v>76</v>
      </c>
      <c r="E11" t="s">
        <v>65</v>
      </c>
      <c r="F11" t="s">
        <v>65</v>
      </c>
      <c r="G11" t="s">
        <v>65</v>
      </c>
      <c r="H11" t="s">
        <v>66</v>
      </c>
      <c r="I11">
        <v>149</v>
      </c>
      <c r="J11">
        <v>150</v>
      </c>
      <c r="K11">
        <v>9</v>
      </c>
      <c r="L11">
        <v>4</v>
      </c>
      <c r="M11">
        <v>20</v>
      </c>
      <c r="N11">
        <v>18.100000000000001</v>
      </c>
    </row>
    <row r="12" spans="1:14" x14ac:dyDescent="0.3">
      <c r="A12" t="s">
        <v>199</v>
      </c>
      <c r="B12" s="1">
        <v>45747</v>
      </c>
      <c r="C12" t="s">
        <v>168</v>
      </c>
      <c r="D12" t="s">
        <v>87</v>
      </c>
      <c r="E12" t="s">
        <v>10</v>
      </c>
      <c r="F12" t="s">
        <v>10</v>
      </c>
      <c r="G12" t="s">
        <v>87</v>
      </c>
      <c r="H12" t="s">
        <v>85</v>
      </c>
      <c r="I12">
        <v>177</v>
      </c>
      <c r="J12">
        <v>152</v>
      </c>
      <c r="K12">
        <v>7</v>
      </c>
      <c r="L12">
        <v>8</v>
      </c>
      <c r="M12">
        <v>20</v>
      </c>
      <c r="N12">
        <v>18.399999999999999</v>
      </c>
    </row>
    <row r="13" spans="1:14" x14ac:dyDescent="0.3">
      <c r="A13" t="s">
        <v>200</v>
      </c>
      <c r="B13" s="1">
        <v>45748</v>
      </c>
      <c r="C13" t="s">
        <v>169</v>
      </c>
      <c r="D13" t="s">
        <v>98</v>
      </c>
      <c r="E13" t="s">
        <v>32</v>
      </c>
      <c r="F13" t="s">
        <v>32</v>
      </c>
      <c r="G13" t="s">
        <v>32</v>
      </c>
      <c r="H13" t="s">
        <v>36</v>
      </c>
      <c r="I13">
        <v>161</v>
      </c>
      <c r="J13">
        <v>162</v>
      </c>
      <c r="K13">
        <v>8</v>
      </c>
      <c r="L13">
        <v>6</v>
      </c>
      <c r="M13">
        <v>20</v>
      </c>
      <c r="N13">
        <v>19.2</v>
      </c>
    </row>
    <row r="14" spans="1:14" x14ac:dyDescent="0.3">
      <c r="A14" t="s">
        <v>201</v>
      </c>
      <c r="B14" s="1">
        <v>45749</v>
      </c>
      <c r="C14" t="s">
        <v>164</v>
      </c>
      <c r="D14" t="s">
        <v>44</v>
      </c>
      <c r="E14" t="s">
        <v>65</v>
      </c>
      <c r="F14" t="s">
        <v>65</v>
      </c>
      <c r="G14" t="s">
        <v>44</v>
      </c>
      <c r="H14" t="s">
        <v>42</v>
      </c>
      <c r="I14">
        <v>198</v>
      </c>
      <c r="J14">
        <v>187</v>
      </c>
      <c r="K14">
        <v>3</v>
      </c>
      <c r="L14">
        <v>8</v>
      </c>
      <c r="M14">
        <v>20</v>
      </c>
      <c r="N14">
        <v>20</v>
      </c>
    </row>
    <row r="15" spans="1:14" x14ac:dyDescent="0.3">
      <c r="A15" t="s">
        <v>202</v>
      </c>
      <c r="B15" s="1">
        <v>45750</v>
      </c>
      <c r="C15" t="s">
        <v>162</v>
      </c>
      <c r="D15" t="s">
        <v>10</v>
      </c>
      <c r="E15" t="s">
        <v>76</v>
      </c>
      <c r="F15" t="s">
        <v>76</v>
      </c>
      <c r="G15" t="s">
        <v>10</v>
      </c>
      <c r="H15" t="s">
        <v>8</v>
      </c>
      <c r="I15">
        <v>188</v>
      </c>
      <c r="J15">
        <v>186</v>
      </c>
      <c r="K15">
        <v>6</v>
      </c>
      <c r="L15">
        <v>8</v>
      </c>
      <c r="M15">
        <v>20</v>
      </c>
      <c r="N15">
        <v>20</v>
      </c>
    </row>
    <row r="16" spans="1:14" x14ac:dyDescent="0.3">
      <c r="A16" t="s">
        <v>203</v>
      </c>
      <c r="B16" s="1">
        <v>45751</v>
      </c>
      <c r="C16" t="s">
        <v>165</v>
      </c>
      <c r="D16" t="s">
        <v>54</v>
      </c>
      <c r="E16" t="s">
        <v>98</v>
      </c>
      <c r="F16" t="s">
        <v>98</v>
      </c>
      <c r="G16" t="s">
        <v>98</v>
      </c>
      <c r="H16" t="s">
        <v>96</v>
      </c>
      <c r="I16">
        <v>169</v>
      </c>
      <c r="J16">
        <v>170</v>
      </c>
      <c r="K16">
        <v>8</v>
      </c>
      <c r="L16">
        <v>4</v>
      </c>
      <c r="M16">
        <v>20</v>
      </c>
      <c r="N16">
        <v>19.100000000000001</v>
      </c>
    </row>
    <row r="17" spans="1:14" x14ac:dyDescent="0.3">
      <c r="A17" t="s">
        <v>204</v>
      </c>
      <c r="B17" s="1">
        <v>45752</v>
      </c>
      <c r="C17" t="s">
        <v>166</v>
      </c>
      <c r="D17" t="s">
        <v>65</v>
      </c>
      <c r="E17" t="s">
        <v>87</v>
      </c>
      <c r="F17" t="s">
        <v>65</v>
      </c>
      <c r="G17" t="s">
        <v>87</v>
      </c>
      <c r="H17" t="s">
        <v>88</v>
      </c>
      <c r="I17">
        <v>155</v>
      </c>
      <c r="J17">
        <v>156</v>
      </c>
      <c r="K17">
        <v>10</v>
      </c>
      <c r="L17">
        <v>6</v>
      </c>
      <c r="M17">
        <v>20</v>
      </c>
      <c r="N17">
        <v>19.399999999999999</v>
      </c>
    </row>
    <row r="18" spans="1:14" x14ac:dyDescent="0.3">
      <c r="A18" t="s">
        <v>205</v>
      </c>
      <c r="B18" s="1">
        <v>45753</v>
      </c>
      <c r="C18" t="s">
        <v>163</v>
      </c>
      <c r="D18" t="s">
        <v>32</v>
      </c>
      <c r="E18" t="s">
        <v>10</v>
      </c>
      <c r="F18" t="s">
        <v>10</v>
      </c>
      <c r="G18" t="s">
        <v>32</v>
      </c>
      <c r="H18" t="s">
        <v>30</v>
      </c>
      <c r="I18">
        <v>180</v>
      </c>
      <c r="J18">
        <v>178</v>
      </c>
      <c r="K18">
        <v>5</v>
      </c>
      <c r="L18">
        <v>8</v>
      </c>
      <c r="M18">
        <v>20</v>
      </c>
      <c r="N18">
        <v>20</v>
      </c>
    </row>
    <row r="19" spans="1:14" x14ac:dyDescent="0.3">
      <c r="A19" t="s">
        <v>206</v>
      </c>
      <c r="B19" s="1">
        <v>45754</v>
      </c>
      <c r="C19" t="s">
        <v>164</v>
      </c>
      <c r="D19" t="s">
        <v>44</v>
      </c>
      <c r="E19" t="s">
        <v>98</v>
      </c>
      <c r="F19" t="s">
        <v>44</v>
      </c>
      <c r="G19" t="s">
        <v>44</v>
      </c>
      <c r="H19" t="s">
        <v>47</v>
      </c>
      <c r="I19">
        <v>194</v>
      </c>
      <c r="J19">
        <v>188</v>
      </c>
      <c r="K19">
        <v>6</v>
      </c>
      <c r="L19">
        <v>7</v>
      </c>
      <c r="M19">
        <v>20</v>
      </c>
      <c r="N19">
        <v>20</v>
      </c>
    </row>
    <row r="20" spans="1:14" x14ac:dyDescent="0.3">
      <c r="A20" t="s">
        <v>207</v>
      </c>
      <c r="B20" s="1">
        <v>45755</v>
      </c>
      <c r="C20" t="s">
        <v>167</v>
      </c>
      <c r="D20" t="s">
        <v>76</v>
      </c>
      <c r="E20" t="s">
        <v>54</v>
      </c>
      <c r="F20" t="s">
        <v>54</v>
      </c>
      <c r="G20" t="s">
        <v>76</v>
      </c>
      <c r="H20" t="s">
        <v>78</v>
      </c>
      <c r="I20">
        <v>172</v>
      </c>
      <c r="J20">
        <v>171</v>
      </c>
      <c r="K20">
        <v>9</v>
      </c>
      <c r="L20">
        <v>10</v>
      </c>
      <c r="M20">
        <v>20</v>
      </c>
      <c r="N20">
        <v>20</v>
      </c>
    </row>
    <row r="21" spans="1:14" x14ac:dyDescent="0.3">
      <c r="A21" t="s">
        <v>208</v>
      </c>
      <c r="B21" s="1">
        <v>45756</v>
      </c>
      <c r="C21" t="s">
        <v>168</v>
      </c>
      <c r="D21" t="s">
        <v>87</v>
      </c>
      <c r="E21" t="s">
        <v>65</v>
      </c>
      <c r="F21" t="s">
        <v>65</v>
      </c>
      <c r="G21" t="s">
        <v>65</v>
      </c>
      <c r="H21" t="s">
        <v>69</v>
      </c>
      <c r="I21">
        <v>166</v>
      </c>
      <c r="J21">
        <v>167</v>
      </c>
      <c r="K21">
        <v>7</v>
      </c>
      <c r="L21">
        <v>5</v>
      </c>
      <c r="M21">
        <v>20</v>
      </c>
      <c r="N21">
        <v>19.100000000000001</v>
      </c>
    </row>
    <row r="22" spans="1:14" x14ac:dyDescent="0.3">
      <c r="A22" t="s">
        <v>209</v>
      </c>
      <c r="B22" s="1">
        <v>45757</v>
      </c>
      <c r="C22" t="s">
        <v>162</v>
      </c>
      <c r="D22" t="s">
        <v>10</v>
      </c>
      <c r="E22" t="s">
        <v>54</v>
      </c>
      <c r="F22" t="s">
        <v>54</v>
      </c>
      <c r="G22" t="s">
        <v>10</v>
      </c>
      <c r="H22" t="s">
        <v>15</v>
      </c>
      <c r="I22">
        <v>175</v>
      </c>
      <c r="J22">
        <v>170</v>
      </c>
      <c r="K22">
        <v>7</v>
      </c>
      <c r="L22">
        <v>9</v>
      </c>
      <c r="M22">
        <v>20</v>
      </c>
      <c r="N22">
        <v>20</v>
      </c>
    </row>
    <row r="23" spans="1:14" x14ac:dyDescent="0.3">
      <c r="A23" t="s">
        <v>210</v>
      </c>
      <c r="B23" s="1">
        <v>45758</v>
      </c>
      <c r="C23" t="s">
        <v>169</v>
      </c>
      <c r="D23" t="s">
        <v>98</v>
      </c>
      <c r="E23" t="s">
        <v>76</v>
      </c>
      <c r="F23" t="s">
        <v>76</v>
      </c>
      <c r="G23" t="s">
        <v>98</v>
      </c>
      <c r="H23" t="s">
        <v>99</v>
      </c>
      <c r="I23">
        <v>159</v>
      </c>
      <c r="J23">
        <v>158</v>
      </c>
      <c r="K23">
        <v>6</v>
      </c>
      <c r="L23">
        <v>7</v>
      </c>
      <c r="M23">
        <v>20</v>
      </c>
      <c r="N23">
        <v>20</v>
      </c>
    </row>
    <row r="24" spans="1:14" x14ac:dyDescent="0.3">
      <c r="A24" t="s">
        <v>211</v>
      </c>
      <c r="B24" s="1">
        <v>45759</v>
      </c>
      <c r="C24" t="s">
        <v>163</v>
      </c>
      <c r="D24" t="s">
        <v>32</v>
      </c>
      <c r="E24" t="s">
        <v>44</v>
      </c>
      <c r="F24" t="s">
        <v>44</v>
      </c>
      <c r="G24" t="s">
        <v>44</v>
      </c>
      <c r="H24" t="s">
        <v>42</v>
      </c>
      <c r="I24">
        <v>183</v>
      </c>
      <c r="J24">
        <v>184</v>
      </c>
      <c r="K24">
        <v>8</v>
      </c>
      <c r="L24">
        <v>6</v>
      </c>
      <c r="M24">
        <v>20</v>
      </c>
      <c r="N24">
        <v>19.399999999999999</v>
      </c>
    </row>
    <row r="25" spans="1:14" x14ac:dyDescent="0.3">
      <c r="A25" t="s">
        <v>212</v>
      </c>
      <c r="B25" s="1">
        <v>45760</v>
      </c>
      <c r="C25" t="s">
        <v>166</v>
      </c>
      <c r="D25" t="s">
        <v>65</v>
      </c>
      <c r="E25" t="s">
        <v>10</v>
      </c>
      <c r="F25" t="s">
        <v>65</v>
      </c>
      <c r="G25" t="s">
        <v>10</v>
      </c>
      <c r="H25" t="s">
        <v>19</v>
      </c>
      <c r="I25">
        <v>168</v>
      </c>
      <c r="J25">
        <v>171</v>
      </c>
      <c r="K25">
        <v>5</v>
      </c>
      <c r="L25">
        <v>4</v>
      </c>
      <c r="M25">
        <v>20</v>
      </c>
      <c r="N25">
        <v>19.100000000000001</v>
      </c>
    </row>
    <row r="26" spans="1:14" x14ac:dyDescent="0.3">
      <c r="A26" t="s">
        <v>213</v>
      </c>
      <c r="B26" s="1">
        <v>45761</v>
      </c>
      <c r="C26" t="s">
        <v>168</v>
      </c>
      <c r="D26" t="s">
        <v>87</v>
      </c>
      <c r="E26" t="s">
        <v>98</v>
      </c>
      <c r="F26" t="s">
        <v>87</v>
      </c>
      <c r="G26" t="s">
        <v>98</v>
      </c>
      <c r="H26" t="s">
        <v>103</v>
      </c>
      <c r="I26">
        <v>186</v>
      </c>
      <c r="J26">
        <v>187</v>
      </c>
      <c r="K26">
        <v>6</v>
      </c>
      <c r="L26">
        <v>5</v>
      </c>
      <c r="M26">
        <v>20</v>
      </c>
      <c r="N26">
        <v>19.2</v>
      </c>
    </row>
    <row r="27" spans="1:14" x14ac:dyDescent="0.3">
      <c r="A27" t="s">
        <v>214</v>
      </c>
      <c r="B27" s="1">
        <v>45762</v>
      </c>
      <c r="C27" t="s">
        <v>165</v>
      </c>
      <c r="D27" t="s">
        <v>54</v>
      </c>
      <c r="E27" t="s">
        <v>32</v>
      </c>
      <c r="F27" t="s">
        <v>32</v>
      </c>
      <c r="G27" t="s">
        <v>32</v>
      </c>
      <c r="H27" t="s">
        <v>39</v>
      </c>
      <c r="I27">
        <v>160</v>
      </c>
      <c r="J27">
        <v>161</v>
      </c>
      <c r="K27">
        <v>9</v>
      </c>
      <c r="L27">
        <v>7</v>
      </c>
      <c r="M27">
        <v>20</v>
      </c>
      <c r="N27">
        <v>19.5</v>
      </c>
    </row>
    <row r="28" spans="1:14" x14ac:dyDescent="0.3">
      <c r="A28" t="s">
        <v>215</v>
      </c>
      <c r="B28" s="1">
        <v>45763</v>
      </c>
      <c r="C28" t="s">
        <v>167</v>
      </c>
      <c r="D28" t="s">
        <v>76</v>
      </c>
      <c r="E28" t="s">
        <v>44</v>
      </c>
      <c r="F28" t="s">
        <v>44</v>
      </c>
      <c r="G28" t="s">
        <v>76</v>
      </c>
      <c r="H28" t="s">
        <v>74</v>
      </c>
      <c r="I28">
        <v>190</v>
      </c>
      <c r="J28">
        <v>185</v>
      </c>
      <c r="K28">
        <v>5</v>
      </c>
      <c r="L28">
        <v>8</v>
      </c>
      <c r="M28">
        <v>20</v>
      </c>
      <c r="N28">
        <v>20</v>
      </c>
    </row>
    <row r="29" spans="1:14" x14ac:dyDescent="0.3">
      <c r="A29" t="s">
        <v>216</v>
      </c>
      <c r="B29" s="1">
        <v>45764</v>
      </c>
      <c r="C29" t="s">
        <v>162</v>
      </c>
      <c r="D29" t="s">
        <v>10</v>
      </c>
      <c r="E29" t="s">
        <v>65</v>
      </c>
      <c r="F29" t="s">
        <v>10</v>
      </c>
      <c r="G29" t="s">
        <v>10</v>
      </c>
      <c r="H29" t="s">
        <v>24</v>
      </c>
      <c r="I29">
        <v>189</v>
      </c>
      <c r="J29">
        <v>173</v>
      </c>
      <c r="K29">
        <v>3</v>
      </c>
      <c r="L29">
        <v>9</v>
      </c>
      <c r="M29">
        <v>20</v>
      </c>
      <c r="N29">
        <v>20</v>
      </c>
    </row>
    <row r="30" spans="1:14" x14ac:dyDescent="0.3">
      <c r="A30" t="s">
        <v>217</v>
      </c>
      <c r="B30" s="1">
        <v>45765</v>
      </c>
      <c r="C30" t="s">
        <v>169</v>
      </c>
      <c r="D30" t="s">
        <v>98</v>
      </c>
      <c r="E30" t="s">
        <v>87</v>
      </c>
      <c r="F30" t="s">
        <v>98</v>
      </c>
      <c r="G30" t="s">
        <v>87</v>
      </c>
      <c r="H30" t="s">
        <v>91</v>
      </c>
      <c r="I30">
        <v>157</v>
      </c>
      <c r="J30">
        <v>158</v>
      </c>
      <c r="K30">
        <v>7</v>
      </c>
      <c r="L30">
        <v>6</v>
      </c>
      <c r="M30">
        <v>20</v>
      </c>
      <c r="N30">
        <v>19.3</v>
      </c>
    </row>
    <row r="31" spans="1:14" x14ac:dyDescent="0.3">
      <c r="A31" t="s">
        <v>218</v>
      </c>
      <c r="B31" s="1">
        <v>45766</v>
      </c>
      <c r="C31" t="s">
        <v>163</v>
      </c>
      <c r="D31" t="s">
        <v>32</v>
      </c>
      <c r="E31" t="s">
        <v>54</v>
      </c>
      <c r="F31" t="s">
        <v>54</v>
      </c>
      <c r="G31" t="s">
        <v>54</v>
      </c>
      <c r="H31" t="s">
        <v>52</v>
      </c>
      <c r="I31">
        <v>179</v>
      </c>
      <c r="J31">
        <v>180</v>
      </c>
      <c r="K31">
        <v>6</v>
      </c>
      <c r="L31">
        <v>5</v>
      </c>
      <c r="M31">
        <v>20</v>
      </c>
      <c r="N31">
        <v>19.2</v>
      </c>
    </row>
    <row r="32" spans="1:14" x14ac:dyDescent="0.3">
      <c r="A32" t="s">
        <v>219</v>
      </c>
      <c r="B32" s="1">
        <v>45767</v>
      </c>
      <c r="C32" t="s">
        <v>164</v>
      </c>
      <c r="D32" t="s">
        <v>44</v>
      </c>
      <c r="E32" t="s">
        <v>10</v>
      </c>
      <c r="F32" t="s">
        <v>10</v>
      </c>
      <c r="G32" t="s">
        <v>44</v>
      </c>
      <c r="H32" t="s">
        <v>50</v>
      </c>
      <c r="I32">
        <v>195</v>
      </c>
      <c r="J32">
        <v>190</v>
      </c>
      <c r="K32">
        <v>4</v>
      </c>
      <c r="L32">
        <v>8</v>
      </c>
      <c r="M32">
        <v>20</v>
      </c>
      <c r="N32">
        <v>20</v>
      </c>
    </row>
    <row r="33" spans="1:14" x14ac:dyDescent="0.3">
      <c r="A33" t="s">
        <v>220</v>
      </c>
      <c r="B33" s="1">
        <v>45768</v>
      </c>
      <c r="C33" t="s">
        <v>166</v>
      </c>
      <c r="D33" t="s">
        <v>65</v>
      </c>
      <c r="E33" t="s">
        <v>76</v>
      </c>
      <c r="F33" t="s">
        <v>76</v>
      </c>
      <c r="G33" t="s">
        <v>65</v>
      </c>
      <c r="H33" t="s">
        <v>71</v>
      </c>
      <c r="I33">
        <v>170</v>
      </c>
      <c r="J33">
        <v>169</v>
      </c>
      <c r="K33">
        <v>6</v>
      </c>
      <c r="L33">
        <v>7</v>
      </c>
      <c r="M33">
        <v>20</v>
      </c>
      <c r="N33">
        <v>20</v>
      </c>
    </row>
    <row r="34" spans="1:14" x14ac:dyDescent="0.3">
      <c r="A34" t="s">
        <v>221</v>
      </c>
      <c r="B34" s="1">
        <v>45769</v>
      </c>
      <c r="C34" t="s">
        <v>168</v>
      </c>
      <c r="D34" t="s">
        <v>87</v>
      </c>
      <c r="E34" t="s">
        <v>32</v>
      </c>
      <c r="F34" t="s">
        <v>87</v>
      </c>
      <c r="G34" t="s">
        <v>87</v>
      </c>
      <c r="H34" t="s">
        <v>93</v>
      </c>
      <c r="I34">
        <v>182</v>
      </c>
      <c r="J34">
        <v>175</v>
      </c>
      <c r="K34">
        <v>5</v>
      </c>
      <c r="L34">
        <v>9</v>
      </c>
      <c r="M34">
        <v>20</v>
      </c>
      <c r="N34">
        <v>20</v>
      </c>
    </row>
    <row r="35" spans="1:14" x14ac:dyDescent="0.3">
      <c r="A35" t="s">
        <v>222</v>
      </c>
      <c r="B35" s="1">
        <v>45770</v>
      </c>
      <c r="C35" t="s">
        <v>165</v>
      </c>
      <c r="D35" t="s">
        <v>54</v>
      </c>
      <c r="E35" t="s">
        <v>65</v>
      </c>
      <c r="F35" t="s">
        <v>65</v>
      </c>
      <c r="G35" t="s">
        <v>54</v>
      </c>
      <c r="H35" t="s">
        <v>55</v>
      </c>
      <c r="I35">
        <v>185</v>
      </c>
      <c r="J35">
        <v>178</v>
      </c>
      <c r="K35">
        <v>7</v>
      </c>
      <c r="L35">
        <v>9</v>
      </c>
      <c r="M35">
        <v>20</v>
      </c>
      <c r="N35">
        <v>20</v>
      </c>
    </row>
    <row r="36" spans="1:14" x14ac:dyDescent="0.3">
      <c r="A36" t="s">
        <v>223</v>
      </c>
      <c r="B36" s="1">
        <v>45771</v>
      </c>
      <c r="C36" t="s">
        <v>169</v>
      </c>
      <c r="D36" t="s">
        <v>98</v>
      </c>
      <c r="E36" t="s">
        <v>44</v>
      </c>
      <c r="F36" t="s">
        <v>98</v>
      </c>
      <c r="G36" t="s">
        <v>98</v>
      </c>
      <c r="H36" t="s">
        <v>101</v>
      </c>
      <c r="I36">
        <v>197</v>
      </c>
      <c r="J36">
        <v>196</v>
      </c>
      <c r="K36">
        <v>5</v>
      </c>
      <c r="L36">
        <v>8</v>
      </c>
      <c r="M36">
        <v>20</v>
      </c>
      <c r="N36">
        <v>20</v>
      </c>
    </row>
    <row r="37" spans="1:14" x14ac:dyDescent="0.3">
      <c r="A37" t="s">
        <v>224</v>
      </c>
      <c r="B37" s="1">
        <v>45772</v>
      </c>
      <c r="C37" t="s">
        <v>162</v>
      </c>
      <c r="D37" t="s">
        <v>10</v>
      </c>
      <c r="E37" t="s">
        <v>87</v>
      </c>
      <c r="F37" t="s">
        <v>87</v>
      </c>
      <c r="G37" t="s">
        <v>10</v>
      </c>
      <c r="H37" t="s">
        <v>27</v>
      </c>
      <c r="I37">
        <v>176</v>
      </c>
      <c r="J37">
        <v>172</v>
      </c>
      <c r="K37">
        <v>4</v>
      </c>
      <c r="L37">
        <v>8</v>
      </c>
      <c r="M37">
        <v>20</v>
      </c>
      <c r="N37">
        <v>20</v>
      </c>
    </row>
    <row r="38" spans="1:14" x14ac:dyDescent="0.3">
      <c r="A38" t="s">
        <v>225</v>
      </c>
      <c r="B38" s="1">
        <v>45773</v>
      </c>
      <c r="C38" t="s">
        <v>167</v>
      </c>
      <c r="D38" t="s">
        <v>76</v>
      </c>
      <c r="E38" t="s">
        <v>98</v>
      </c>
      <c r="F38" t="s">
        <v>98</v>
      </c>
      <c r="G38" t="s">
        <v>76</v>
      </c>
      <c r="H38" t="s">
        <v>80</v>
      </c>
      <c r="I38">
        <v>153</v>
      </c>
      <c r="J38">
        <v>150</v>
      </c>
      <c r="K38">
        <v>8</v>
      </c>
      <c r="L38">
        <v>10</v>
      </c>
      <c r="M38">
        <v>20</v>
      </c>
      <c r="N38">
        <v>19.3</v>
      </c>
    </row>
    <row r="39" spans="1:14" x14ac:dyDescent="0.3">
      <c r="A39" t="s">
        <v>226</v>
      </c>
      <c r="B39" s="1">
        <v>45774</v>
      </c>
      <c r="C39" t="s">
        <v>163</v>
      </c>
      <c r="D39" t="s">
        <v>32</v>
      </c>
      <c r="E39" t="s">
        <v>65</v>
      </c>
      <c r="F39" t="s">
        <v>65</v>
      </c>
      <c r="G39" t="s">
        <v>32</v>
      </c>
      <c r="H39" t="s">
        <v>33</v>
      </c>
      <c r="I39">
        <v>163</v>
      </c>
      <c r="J39">
        <v>158</v>
      </c>
      <c r="K39">
        <v>7</v>
      </c>
      <c r="L39">
        <v>8</v>
      </c>
      <c r="M39">
        <v>20</v>
      </c>
      <c r="N39">
        <v>20</v>
      </c>
    </row>
    <row r="40" spans="1:14" x14ac:dyDescent="0.3">
      <c r="A40" t="s">
        <v>227</v>
      </c>
      <c r="B40" s="1">
        <v>45775</v>
      </c>
      <c r="C40" t="s">
        <v>164</v>
      </c>
      <c r="D40" t="s">
        <v>44</v>
      </c>
      <c r="E40" t="s">
        <v>54</v>
      </c>
      <c r="F40" t="s">
        <v>54</v>
      </c>
      <c r="G40" t="s">
        <v>44</v>
      </c>
      <c r="H40" t="s">
        <v>42</v>
      </c>
      <c r="I40">
        <v>200</v>
      </c>
      <c r="J40">
        <v>195</v>
      </c>
      <c r="K40">
        <v>5</v>
      </c>
      <c r="L40">
        <v>8</v>
      </c>
      <c r="M40">
        <v>20</v>
      </c>
      <c r="N40">
        <v>20</v>
      </c>
    </row>
    <row r="41" spans="1:14" x14ac:dyDescent="0.3">
      <c r="A41" t="s">
        <v>228</v>
      </c>
      <c r="B41" s="1">
        <v>45776</v>
      </c>
      <c r="C41" t="s">
        <v>168</v>
      </c>
      <c r="D41" t="s">
        <v>87</v>
      </c>
      <c r="E41" t="s">
        <v>76</v>
      </c>
      <c r="F41" t="s">
        <v>87</v>
      </c>
      <c r="G41" t="s">
        <v>76</v>
      </c>
      <c r="H41" t="s">
        <v>83</v>
      </c>
      <c r="I41">
        <v>180</v>
      </c>
      <c r="J41">
        <v>181</v>
      </c>
      <c r="K41">
        <v>7</v>
      </c>
      <c r="L41">
        <v>4</v>
      </c>
      <c r="M41">
        <v>20</v>
      </c>
      <c r="N41">
        <v>19.399999999999999</v>
      </c>
    </row>
    <row r="42" spans="1:14" x14ac:dyDescent="0.3">
      <c r="A42" t="s">
        <v>229</v>
      </c>
      <c r="B42" s="1">
        <v>45777</v>
      </c>
      <c r="C42" t="s">
        <v>169</v>
      </c>
      <c r="D42" t="s">
        <v>98</v>
      </c>
      <c r="E42" t="s">
        <v>10</v>
      </c>
      <c r="F42" t="s">
        <v>10</v>
      </c>
      <c r="G42" t="s">
        <v>98</v>
      </c>
      <c r="H42" t="s">
        <v>96</v>
      </c>
      <c r="I42">
        <v>174</v>
      </c>
      <c r="J42">
        <v>173</v>
      </c>
      <c r="K42">
        <v>6</v>
      </c>
      <c r="L42">
        <v>7</v>
      </c>
      <c r="M42">
        <v>20</v>
      </c>
      <c r="N42">
        <v>20</v>
      </c>
    </row>
    <row r="43" spans="1:14" x14ac:dyDescent="0.3">
      <c r="A43" t="s">
        <v>230</v>
      </c>
      <c r="B43" s="1">
        <v>45778</v>
      </c>
      <c r="C43" t="s">
        <v>166</v>
      </c>
      <c r="D43" t="s">
        <v>65</v>
      </c>
      <c r="E43" t="s">
        <v>32</v>
      </c>
      <c r="F43" t="s">
        <v>32</v>
      </c>
      <c r="G43" t="s">
        <v>65</v>
      </c>
      <c r="H43" t="s">
        <v>63</v>
      </c>
      <c r="I43">
        <v>187</v>
      </c>
      <c r="J43">
        <v>175</v>
      </c>
      <c r="K43">
        <v>4</v>
      </c>
      <c r="L43">
        <v>9</v>
      </c>
      <c r="M43">
        <v>20</v>
      </c>
      <c r="N43">
        <v>20</v>
      </c>
    </row>
    <row r="44" spans="1:14" x14ac:dyDescent="0.3">
      <c r="A44" t="s">
        <v>231</v>
      </c>
      <c r="B44" s="1">
        <v>45779</v>
      </c>
      <c r="C44" t="s">
        <v>162</v>
      </c>
      <c r="D44" t="s">
        <v>10</v>
      </c>
      <c r="E44" t="s">
        <v>44</v>
      </c>
      <c r="F44" t="s">
        <v>44</v>
      </c>
      <c r="G44" t="s">
        <v>44</v>
      </c>
      <c r="H44" t="s">
        <v>45</v>
      </c>
      <c r="I44">
        <v>162</v>
      </c>
      <c r="J44">
        <v>165</v>
      </c>
      <c r="K44">
        <v>9</v>
      </c>
      <c r="L44">
        <v>5</v>
      </c>
      <c r="M44">
        <v>20</v>
      </c>
      <c r="N44">
        <v>19.2</v>
      </c>
    </row>
    <row r="45" spans="1:14" x14ac:dyDescent="0.3">
      <c r="A45" t="s">
        <v>232</v>
      </c>
      <c r="B45" s="1">
        <v>45780</v>
      </c>
      <c r="C45" t="s">
        <v>165</v>
      </c>
      <c r="D45" t="s">
        <v>54</v>
      </c>
      <c r="E45" t="s">
        <v>76</v>
      </c>
      <c r="F45" t="s">
        <v>76</v>
      </c>
      <c r="G45" t="s">
        <v>54</v>
      </c>
      <c r="H45" t="s">
        <v>52</v>
      </c>
      <c r="I45">
        <v>196</v>
      </c>
      <c r="J45">
        <v>188</v>
      </c>
      <c r="K45">
        <v>3</v>
      </c>
      <c r="L45">
        <v>8</v>
      </c>
      <c r="M45">
        <v>20</v>
      </c>
      <c r="N45">
        <v>20</v>
      </c>
    </row>
    <row r="46" spans="1:14" x14ac:dyDescent="0.3">
      <c r="A46" t="s">
        <v>233</v>
      </c>
      <c r="B46" s="1">
        <v>45781</v>
      </c>
      <c r="C46" t="s">
        <v>169</v>
      </c>
      <c r="D46" t="s">
        <v>98</v>
      </c>
      <c r="E46" t="s">
        <v>65</v>
      </c>
      <c r="F46" t="s">
        <v>65</v>
      </c>
      <c r="G46" t="s">
        <v>98</v>
      </c>
      <c r="H46" t="s">
        <v>103</v>
      </c>
      <c r="I46">
        <v>184</v>
      </c>
      <c r="J46">
        <v>183</v>
      </c>
      <c r="K46">
        <v>7</v>
      </c>
      <c r="L46">
        <v>9</v>
      </c>
      <c r="M46">
        <v>20</v>
      </c>
      <c r="N46">
        <v>20</v>
      </c>
    </row>
    <row r="47" spans="1:14" x14ac:dyDescent="0.3">
      <c r="A47" t="s">
        <v>234</v>
      </c>
      <c r="B47" s="1">
        <v>45782</v>
      </c>
      <c r="C47" t="s">
        <v>163</v>
      </c>
      <c r="D47" t="s">
        <v>32</v>
      </c>
      <c r="E47" t="s">
        <v>76</v>
      </c>
      <c r="F47" t="s">
        <v>76</v>
      </c>
      <c r="G47" t="s">
        <v>32</v>
      </c>
      <c r="H47" t="s">
        <v>30</v>
      </c>
      <c r="I47">
        <v>192</v>
      </c>
      <c r="J47">
        <v>174</v>
      </c>
      <c r="K47">
        <v>4</v>
      </c>
      <c r="L47">
        <v>8</v>
      </c>
      <c r="M47">
        <v>20</v>
      </c>
      <c r="N47">
        <v>20</v>
      </c>
    </row>
    <row r="48" spans="1:14" x14ac:dyDescent="0.3">
      <c r="A48" t="s">
        <v>235</v>
      </c>
      <c r="B48" s="1">
        <v>45783</v>
      </c>
      <c r="C48" t="s">
        <v>168</v>
      </c>
      <c r="D48" t="s">
        <v>87</v>
      </c>
      <c r="E48" t="s">
        <v>54</v>
      </c>
      <c r="F48" t="s">
        <v>87</v>
      </c>
      <c r="G48" t="s">
        <v>54</v>
      </c>
      <c r="H48" t="s">
        <v>55</v>
      </c>
      <c r="I48">
        <v>208</v>
      </c>
      <c r="J48">
        <v>198</v>
      </c>
      <c r="K48">
        <v>6</v>
      </c>
      <c r="L48">
        <v>7</v>
      </c>
      <c r="M48">
        <v>20</v>
      </c>
      <c r="N48">
        <v>20</v>
      </c>
    </row>
    <row r="49" spans="1:14" x14ac:dyDescent="0.3">
      <c r="A49" t="s">
        <v>236</v>
      </c>
      <c r="B49" s="1">
        <v>45784</v>
      </c>
      <c r="C49" t="s">
        <v>164</v>
      </c>
      <c r="D49" t="s">
        <v>44</v>
      </c>
      <c r="E49" t="s">
        <v>10</v>
      </c>
      <c r="F49" t="s">
        <v>10</v>
      </c>
      <c r="G49" t="s">
        <v>76</v>
      </c>
      <c r="H49" t="s">
        <v>74</v>
      </c>
      <c r="I49">
        <v>193</v>
      </c>
      <c r="J49">
        <v>165</v>
      </c>
      <c r="K49">
        <v>5</v>
      </c>
      <c r="L49">
        <v>10</v>
      </c>
      <c r="M49">
        <v>20</v>
      </c>
      <c r="N49">
        <v>17.2</v>
      </c>
    </row>
    <row r="50" spans="1:14" x14ac:dyDescent="0.3">
      <c r="A50" t="s">
        <v>237</v>
      </c>
      <c r="B50" s="1">
        <v>45785</v>
      </c>
      <c r="C50" t="s">
        <v>166</v>
      </c>
      <c r="D50" t="s">
        <v>65</v>
      </c>
      <c r="E50" t="s">
        <v>44</v>
      </c>
      <c r="F50" t="s">
        <v>44</v>
      </c>
      <c r="G50" t="s">
        <v>76</v>
      </c>
      <c r="H50" t="s">
        <v>83</v>
      </c>
      <c r="I50">
        <v>181</v>
      </c>
      <c r="J50">
        <v>185</v>
      </c>
      <c r="K50">
        <v>5</v>
      </c>
      <c r="L50">
        <v>4</v>
      </c>
      <c r="M50">
        <v>20</v>
      </c>
      <c r="N50">
        <v>19.3</v>
      </c>
    </row>
    <row r="51" spans="1:14" x14ac:dyDescent="0.3">
      <c r="A51" t="s">
        <v>238</v>
      </c>
      <c r="B51" s="1">
        <v>45786</v>
      </c>
      <c r="C51" t="s">
        <v>167</v>
      </c>
      <c r="D51" t="s">
        <v>76</v>
      </c>
      <c r="E51" t="s">
        <v>32</v>
      </c>
      <c r="F51" t="s">
        <v>65</v>
      </c>
      <c r="G51" t="s">
        <v>54</v>
      </c>
      <c r="H51" t="s">
        <v>58</v>
      </c>
      <c r="I51">
        <v>164</v>
      </c>
      <c r="J51">
        <v>165</v>
      </c>
      <c r="K51">
        <v>8</v>
      </c>
      <c r="L51">
        <v>3</v>
      </c>
      <c r="M51">
        <v>20</v>
      </c>
      <c r="N51">
        <v>18.399999999999999</v>
      </c>
    </row>
    <row r="52" spans="1:14" x14ac:dyDescent="0.3">
      <c r="A52" t="s">
        <v>239</v>
      </c>
      <c r="B52" s="1">
        <v>45787</v>
      </c>
      <c r="C52" t="s">
        <v>162</v>
      </c>
      <c r="D52" t="s">
        <v>10</v>
      </c>
      <c r="E52" t="s">
        <v>32</v>
      </c>
      <c r="F52" t="s">
        <v>87</v>
      </c>
      <c r="G52" t="s">
        <v>32</v>
      </c>
      <c r="H52" t="s">
        <v>33</v>
      </c>
      <c r="I52">
        <v>178</v>
      </c>
      <c r="J52">
        <v>169</v>
      </c>
      <c r="K52">
        <v>6</v>
      </c>
      <c r="L52">
        <v>9</v>
      </c>
      <c r="M52">
        <v>20</v>
      </c>
      <c r="N52">
        <v>20</v>
      </c>
    </row>
    <row r="53" spans="1:14" x14ac:dyDescent="0.3">
      <c r="A53" t="s">
        <v>240</v>
      </c>
      <c r="B53" s="1">
        <v>45788</v>
      </c>
      <c r="C53" t="s">
        <v>165</v>
      </c>
      <c r="D53" t="s">
        <v>54</v>
      </c>
      <c r="E53" t="s">
        <v>98</v>
      </c>
      <c r="F53" t="s">
        <v>10</v>
      </c>
      <c r="G53" t="s">
        <v>98</v>
      </c>
      <c r="H53" t="s">
        <v>101</v>
      </c>
      <c r="I53">
        <v>154</v>
      </c>
      <c r="J53">
        <v>155</v>
      </c>
      <c r="K53">
        <v>10</v>
      </c>
      <c r="L53">
        <v>3</v>
      </c>
      <c r="M53">
        <v>19.5</v>
      </c>
      <c r="N53">
        <v>17</v>
      </c>
    </row>
    <row r="54" spans="1:14" x14ac:dyDescent="0.3">
      <c r="A54" t="s">
        <v>241</v>
      </c>
      <c r="B54" s="1">
        <v>45789</v>
      </c>
      <c r="C54" t="s">
        <v>169</v>
      </c>
      <c r="D54" t="s">
        <v>98</v>
      </c>
      <c r="E54" t="s">
        <v>44</v>
      </c>
      <c r="F54" t="s">
        <v>44</v>
      </c>
      <c r="G54" t="s">
        <v>54</v>
      </c>
      <c r="H54" t="s">
        <v>60</v>
      </c>
      <c r="I54">
        <v>171</v>
      </c>
      <c r="J54">
        <v>156</v>
      </c>
      <c r="K54">
        <v>5</v>
      </c>
      <c r="L54">
        <v>9</v>
      </c>
      <c r="M54">
        <v>20</v>
      </c>
      <c r="N54">
        <v>18.3</v>
      </c>
    </row>
    <row r="55" spans="1:14" x14ac:dyDescent="0.3">
      <c r="A55" t="s">
        <v>242</v>
      </c>
      <c r="B55" s="1">
        <v>45790</v>
      </c>
      <c r="C55" t="s">
        <v>168</v>
      </c>
      <c r="D55" t="s">
        <v>87</v>
      </c>
      <c r="E55" t="s">
        <v>65</v>
      </c>
      <c r="F55" t="s">
        <v>65</v>
      </c>
      <c r="G55" t="s">
        <v>65</v>
      </c>
      <c r="H55" t="s">
        <v>66</v>
      </c>
      <c r="I55">
        <v>149</v>
      </c>
      <c r="J55">
        <v>150</v>
      </c>
      <c r="K55">
        <v>9</v>
      </c>
      <c r="L55">
        <v>4</v>
      </c>
      <c r="M55">
        <v>20</v>
      </c>
      <c r="N55">
        <v>18.100000000000001</v>
      </c>
    </row>
    <row r="56" spans="1:14" x14ac:dyDescent="0.3">
      <c r="A56" t="s">
        <v>243</v>
      </c>
      <c r="B56" s="1">
        <v>45791</v>
      </c>
      <c r="C56" t="s">
        <v>164</v>
      </c>
      <c r="D56" t="s">
        <v>44</v>
      </c>
      <c r="E56" t="s">
        <v>76</v>
      </c>
      <c r="F56" t="s">
        <v>10</v>
      </c>
      <c r="G56" t="s">
        <v>87</v>
      </c>
      <c r="H56" t="s">
        <v>85</v>
      </c>
      <c r="I56">
        <v>177</v>
      </c>
      <c r="J56">
        <v>152</v>
      </c>
      <c r="K56">
        <v>7</v>
      </c>
      <c r="L56">
        <v>8</v>
      </c>
      <c r="M56">
        <v>20</v>
      </c>
      <c r="N56">
        <v>18.399999999999999</v>
      </c>
    </row>
    <row r="57" spans="1:14" x14ac:dyDescent="0.3">
      <c r="A57" t="s">
        <v>244</v>
      </c>
      <c r="B57" s="1">
        <v>45792</v>
      </c>
      <c r="C57" t="s">
        <v>162</v>
      </c>
      <c r="D57" t="s">
        <v>10</v>
      </c>
      <c r="E57" t="s">
        <v>54</v>
      </c>
      <c r="F57" t="s">
        <v>32</v>
      </c>
      <c r="G57" t="s">
        <v>32</v>
      </c>
      <c r="H57" t="s">
        <v>36</v>
      </c>
      <c r="I57">
        <v>161</v>
      </c>
      <c r="J57">
        <v>162</v>
      </c>
      <c r="K57">
        <v>8</v>
      </c>
      <c r="L57">
        <v>6</v>
      </c>
      <c r="M57">
        <v>20</v>
      </c>
      <c r="N57">
        <v>19.2</v>
      </c>
    </row>
    <row r="58" spans="1:14" x14ac:dyDescent="0.3">
      <c r="A58" t="s">
        <v>245</v>
      </c>
      <c r="B58" s="1">
        <v>45793</v>
      </c>
      <c r="C58" t="s">
        <v>163</v>
      </c>
      <c r="D58" t="s">
        <v>32</v>
      </c>
      <c r="E58" t="s">
        <v>98</v>
      </c>
      <c r="F58" t="s">
        <v>65</v>
      </c>
      <c r="G58" t="s">
        <v>44</v>
      </c>
      <c r="H58" t="s">
        <v>42</v>
      </c>
      <c r="I58">
        <v>198</v>
      </c>
      <c r="J58">
        <v>187</v>
      </c>
      <c r="K58">
        <v>3</v>
      </c>
      <c r="L58">
        <v>8</v>
      </c>
      <c r="M58">
        <v>20</v>
      </c>
      <c r="N58">
        <v>20</v>
      </c>
    </row>
    <row r="59" spans="1:14" x14ac:dyDescent="0.3">
      <c r="A59" t="s">
        <v>246</v>
      </c>
      <c r="B59" s="1">
        <v>45794</v>
      </c>
      <c r="C59" t="s">
        <v>166</v>
      </c>
      <c r="D59" t="s">
        <v>65</v>
      </c>
      <c r="E59" t="s">
        <v>76</v>
      </c>
      <c r="F59" t="s">
        <v>76</v>
      </c>
      <c r="G59" t="s">
        <v>10</v>
      </c>
      <c r="H59" t="s">
        <v>8</v>
      </c>
      <c r="I59">
        <v>188</v>
      </c>
      <c r="J59">
        <v>186</v>
      </c>
      <c r="K59">
        <v>6</v>
      </c>
      <c r="L59">
        <v>8</v>
      </c>
      <c r="M59">
        <v>20</v>
      </c>
      <c r="N59">
        <v>20</v>
      </c>
    </row>
    <row r="60" spans="1:14" x14ac:dyDescent="0.3">
      <c r="A60" t="s">
        <v>247</v>
      </c>
      <c r="B60" s="1">
        <v>45795</v>
      </c>
      <c r="C60" t="s">
        <v>165</v>
      </c>
      <c r="D60" t="s">
        <v>54</v>
      </c>
      <c r="E60" t="s">
        <v>87</v>
      </c>
      <c r="F60" t="s">
        <v>98</v>
      </c>
      <c r="G60" t="s">
        <v>98</v>
      </c>
      <c r="H60" t="s">
        <v>96</v>
      </c>
      <c r="I60">
        <v>169</v>
      </c>
      <c r="J60">
        <v>170</v>
      </c>
      <c r="K60">
        <v>8</v>
      </c>
      <c r="L60">
        <v>4</v>
      </c>
      <c r="M60">
        <v>20</v>
      </c>
      <c r="N60">
        <v>19.100000000000001</v>
      </c>
    </row>
    <row r="61" spans="1:14" x14ac:dyDescent="0.3">
      <c r="A61" t="s">
        <v>248</v>
      </c>
      <c r="B61" s="1">
        <v>45796</v>
      </c>
      <c r="C61" t="s">
        <v>167</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570D-6397-4E28-AD49-51D3AD16DEC6}">
  <dimension ref="A1:D11"/>
  <sheetViews>
    <sheetView workbookViewId="0">
      <selection activeCell="B10" sqref="B10"/>
    </sheetView>
  </sheetViews>
  <sheetFormatPr defaultRowHeight="14.4" x14ac:dyDescent="0.3"/>
  <cols>
    <col min="1" max="1" width="10.88671875" bestFit="1" customWidth="1"/>
    <col min="2" max="2" width="50.21875" bestFit="1" customWidth="1"/>
    <col min="3" max="4" width="10.6640625" bestFit="1" customWidth="1"/>
  </cols>
  <sheetData>
    <row r="1" spans="1:4" x14ac:dyDescent="0.3">
      <c r="A1" t="s">
        <v>159</v>
      </c>
      <c r="B1" t="s">
        <v>160</v>
      </c>
      <c r="C1" t="s">
        <v>109</v>
      </c>
      <c r="D1" t="s">
        <v>161</v>
      </c>
    </row>
    <row r="2" spans="1:4" x14ac:dyDescent="0.3">
      <c r="A2" t="s">
        <v>162</v>
      </c>
      <c r="B2" t="s">
        <v>114</v>
      </c>
      <c r="C2" t="s">
        <v>115</v>
      </c>
      <c r="D2">
        <v>33108</v>
      </c>
    </row>
    <row r="3" spans="1:4" x14ac:dyDescent="0.3">
      <c r="A3" t="s">
        <v>163</v>
      </c>
      <c r="B3" t="s">
        <v>120</v>
      </c>
      <c r="C3" t="s">
        <v>121</v>
      </c>
      <c r="D3">
        <v>38000</v>
      </c>
    </row>
    <row r="4" spans="1:4" x14ac:dyDescent="0.3">
      <c r="A4" t="s">
        <v>164</v>
      </c>
      <c r="B4" t="s">
        <v>126</v>
      </c>
      <c r="C4" t="s">
        <v>127</v>
      </c>
      <c r="D4">
        <v>42000</v>
      </c>
    </row>
    <row r="5" spans="1:4" x14ac:dyDescent="0.3">
      <c r="A5" t="s">
        <v>165</v>
      </c>
      <c r="B5" t="s">
        <v>132</v>
      </c>
      <c r="C5" t="s">
        <v>133</v>
      </c>
      <c r="D5">
        <v>68000</v>
      </c>
    </row>
    <row r="6" spans="1:4" x14ac:dyDescent="0.3">
      <c r="A6" t="s">
        <v>166</v>
      </c>
      <c r="B6" t="s">
        <v>138</v>
      </c>
      <c r="C6" t="s">
        <v>139</v>
      </c>
      <c r="D6">
        <v>41820</v>
      </c>
    </row>
    <row r="7" spans="1:4" x14ac:dyDescent="0.3">
      <c r="A7" t="s">
        <v>167</v>
      </c>
      <c r="B7" t="s">
        <v>144</v>
      </c>
      <c r="C7" t="s">
        <v>145</v>
      </c>
      <c r="D7">
        <v>30000</v>
      </c>
    </row>
    <row r="8" spans="1:4" x14ac:dyDescent="0.3">
      <c r="A8" t="s">
        <v>168</v>
      </c>
      <c r="B8" t="s">
        <v>150</v>
      </c>
      <c r="C8" t="s">
        <v>151</v>
      </c>
      <c r="D8">
        <v>38000</v>
      </c>
    </row>
    <row r="9" spans="1:4" x14ac:dyDescent="0.3">
      <c r="A9" t="s">
        <v>169</v>
      </c>
      <c r="B9" t="s">
        <v>156</v>
      </c>
      <c r="C9" t="s">
        <v>157</v>
      </c>
      <c r="D9">
        <v>39200</v>
      </c>
    </row>
    <row r="10" spans="1:4" x14ac:dyDescent="0.3">
      <c r="A10" t="s">
        <v>170</v>
      </c>
      <c r="B10" t="s">
        <v>171</v>
      </c>
      <c r="C10" t="s">
        <v>172</v>
      </c>
      <c r="D10">
        <v>132000</v>
      </c>
    </row>
    <row r="11" spans="1:4" x14ac:dyDescent="0.3">
      <c r="A11" t="s">
        <v>173</v>
      </c>
      <c r="B11" t="s">
        <v>174</v>
      </c>
      <c r="C11" t="s">
        <v>175</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6223-307A-43B1-BC69-6EE1EA8AFED1}">
  <dimension ref="A1:G9"/>
  <sheetViews>
    <sheetView workbookViewId="0">
      <selection activeCell="C6" sqref="C6"/>
    </sheetView>
  </sheetViews>
  <sheetFormatPr defaultRowHeight="14.4" x14ac:dyDescent="0.3"/>
  <cols>
    <col min="1" max="1" width="10.33203125" bestFit="1" customWidth="1"/>
    <col min="2" max="2" width="29" bestFit="1" customWidth="1"/>
    <col min="3" max="3" width="14.21875" bestFit="1" customWidth="1"/>
    <col min="4" max="4" width="16.88671875" bestFit="1" customWidth="1"/>
    <col min="5" max="5" width="39.109375"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t="s">
        <v>10</v>
      </c>
      <c r="B2" t="s">
        <v>111</v>
      </c>
      <c r="C2" t="s">
        <v>112</v>
      </c>
      <c r="D2" t="s">
        <v>113</v>
      </c>
      <c r="E2" t="s">
        <v>114</v>
      </c>
      <c r="F2" t="s">
        <v>115</v>
      </c>
      <c r="G2" t="s">
        <v>116</v>
      </c>
    </row>
    <row r="3" spans="1:7" x14ac:dyDescent="0.3">
      <c r="A3" t="s">
        <v>32</v>
      </c>
      <c r="B3" t="s">
        <v>117</v>
      </c>
      <c r="C3" t="s">
        <v>118</v>
      </c>
      <c r="D3" t="s">
        <v>119</v>
      </c>
      <c r="E3" t="s">
        <v>120</v>
      </c>
      <c r="F3" t="s">
        <v>121</v>
      </c>
      <c r="G3" t="s">
        <v>122</v>
      </c>
    </row>
    <row r="4" spans="1:7" x14ac:dyDescent="0.3">
      <c r="A4" t="s">
        <v>44</v>
      </c>
      <c r="B4" t="s">
        <v>123</v>
      </c>
      <c r="C4" t="s">
        <v>124</v>
      </c>
      <c r="D4" t="s">
        <v>125</v>
      </c>
      <c r="E4" t="s">
        <v>126</v>
      </c>
      <c r="F4" t="s">
        <v>127</v>
      </c>
      <c r="G4" t="s">
        <v>128</v>
      </c>
    </row>
    <row r="5" spans="1:7" x14ac:dyDescent="0.3">
      <c r="A5" t="s">
        <v>54</v>
      </c>
      <c r="B5" t="s">
        <v>129</v>
      </c>
      <c r="C5" t="s">
        <v>130</v>
      </c>
      <c r="D5" t="s">
        <v>131</v>
      </c>
      <c r="E5" t="s">
        <v>132</v>
      </c>
      <c r="F5" t="s">
        <v>133</v>
      </c>
      <c r="G5" t="s">
        <v>134</v>
      </c>
    </row>
    <row r="6" spans="1:7" x14ac:dyDescent="0.3">
      <c r="A6" t="s">
        <v>65</v>
      </c>
      <c r="B6" t="s">
        <v>135</v>
      </c>
      <c r="C6" t="s">
        <v>136</v>
      </c>
      <c r="D6" t="s">
        <v>137</v>
      </c>
      <c r="E6" t="s">
        <v>138</v>
      </c>
      <c r="F6" t="s">
        <v>139</v>
      </c>
      <c r="G6" t="s">
        <v>140</v>
      </c>
    </row>
    <row r="7" spans="1:7" x14ac:dyDescent="0.3">
      <c r="A7" t="s">
        <v>76</v>
      </c>
      <c r="B7" t="s">
        <v>141</v>
      </c>
      <c r="C7" t="s">
        <v>142</v>
      </c>
      <c r="D7" t="s">
        <v>143</v>
      </c>
      <c r="E7" t="s">
        <v>144</v>
      </c>
      <c r="F7" t="s">
        <v>145</v>
      </c>
      <c r="G7" t="s">
        <v>146</v>
      </c>
    </row>
    <row r="8" spans="1:7" x14ac:dyDescent="0.3">
      <c r="A8" t="s">
        <v>87</v>
      </c>
      <c r="B8" t="s">
        <v>147</v>
      </c>
      <c r="C8" t="s">
        <v>148</v>
      </c>
      <c r="D8" t="s">
        <v>149</v>
      </c>
      <c r="E8" t="s">
        <v>150</v>
      </c>
      <c r="F8" t="s">
        <v>151</v>
      </c>
      <c r="G8" t="s">
        <v>152</v>
      </c>
    </row>
    <row r="9" spans="1:7" x14ac:dyDescent="0.3">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B1F9-8AEC-44C1-8975-B4B8B1694DB1}">
  <dimension ref="A1:H34"/>
  <sheetViews>
    <sheetView workbookViewId="0">
      <selection activeCell="J18" sqref="J18"/>
    </sheetView>
  </sheetViews>
  <sheetFormatPr defaultRowHeight="14.4" x14ac:dyDescent="0.3"/>
  <cols>
    <col min="1" max="1" width="11" bestFit="1" customWidth="1"/>
    <col min="2" max="2" width="18.21875" bestFit="1" customWidth="1"/>
    <col min="3" max="3" width="10.33203125" bestFit="1" customWidth="1"/>
    <col min="4" max="4" width="12.109375" bestFit="1" customWidth="1"/>
    <col min="5" max="5" width="13.109375" bestFit="1" customWidth="1"/>
    <col min="6" max="6" width="6.21875" bestFit="1" customWidth="1"/>
    <col min="7" max="7" width="14.109375" bestFit="1" customWidth="1"/>
    <col min="8" max="8" width="20"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33</v>
      </c>
      <c r="G2" t="s">
        <v>13</v>
      </c>
      <c r="H2" t="s">
        <v>14</v>
      </c>
    </row>
    <row r="3" spans="1:8" x14ac:dyDescent="0.3">
      <c r="A3" t="s">
        <v>15</v>
      </c>
      <c r="B3" t="s">
        <v>16</v>
      </c>
      <c r="C3" t="s">
        <v>10</v>
      </c>
      <c r="D3" t="s">
        <v>17</v>
      </c>
      <c r="E3" t="s">
        <v>12</v>
      </c>
      <c r="F3">
        <v>31</v>
      </c>
      <c r="G3" t="s">
        <v>13</v>
      </c>
      <c r="H3" t="s">
        <v>18</v>
      </c>
    </row>
    <row r="4" spans="1:8" x14ac:dyDescent="0.3">
      <c r="A4" t="s">
        <v>19</v>
      </c>
      <c r="B4" t="s">
        <v>20</v>
      </c>
      <c r="C4" t="s">
        <v>10</v>
      </c>
      <c r="D4" t="s">
        <v>21</v>
      </c>
      <c r="E4" t="s">
        <v>12</v>
      </c>
      <c r="F4">
        <v>26</v>
      </c>
      <c r="G4" t="s">
        <v>22</v>
      </c>
      <c r="H4" t="s">
        <v>23</v>
      </c>
    </row>
    <row r="5" spans="1:8" x14ac:dyDescent="0.3">
      <c r="A5" t="s">
        <v>24</v>
      </c>
      <c r="B5" t="s">
        <v>25</v>
      </c>
      <c r="C5" t="s">
        <v>10</v>
      </c>
      <c r="D5" t="s">
        <v>26</v>
      </c>
      <c r="E5" t="s">
        <v>12</v>
      </c>
      <c r="F5">
        <v>22</v>
      </c>
      <c r="G5" t="s">
        <v>22</v>
      </c>
      <c r="H5" t="s">
        <v>14</v>
      </c>
    </row>
    <row r="6" spans="1:8" x14ac:dyDescent="0.3">
      <c r="A6" t="s">
        <v>27</v>
      </c>
      <c r="B6" t="s">
        <v>28</v>
      </c>
      <c r="C6" t="s">
        <v>10</v>
      </c>
      <c r="D6" t="s">
        <v>26</v>
      </c>
      <c r="E6" t="s">
        <v>12</v>
      </c>
      <c r="F6">
        <v>31</v>
      </c>
      <c r="G6" t="s">
        <v>13</v>
      </c>
      <c r="H6" t="s">
        <v>29</v>
      </c>
    </row>
    <row r="7" spans="1:8" x14ac:dyDescent="0.3">
      <c r="A7" t="s">
        <v>30</v>
      </c>
      <c r="B7" t="s">
        <v>31</v>
      </c>
      <c r="C7" t="s">
        <v>32</v>
      </c>
      <c r="D7" t="s">
        <v>26</v>
      </c>
      <c r="E7" t="s">
        <v>12</v>
      </c>
      <c r="F7">
        <v>31</v>
      </c>
      <c r="G7" t="s">
        <v>22</v>
      </c>
      <c r="H7" t="s">
        <v>29</v>
      </c>
    </row>
    <row r="8" spans="1:8" x14ac:dyDescent="0.3">
      <c r="A8" t="s">
        <v>33</v>
      </c>
      <c r="B8" t="s">
        <v>34</v>
      </c>
      <c r="C8" t="s">
        <v>32</v>
      </c>
      <c r="D8" t="s">
        <v>17</v>
      </c>
      <c r="E8" t="s">
        <v>12</v>
      </c>
      <c r="F8">
        <v>32</v>
      </c>
      <c r="G8" t="s">
        <v>13</v>
      </c>
      <c r="H8" t="s">
        <v>35</v>
      </c>
    </row>
    <row r="9" spans="1:8" x14ac:dyDescent="0.3">
      <c r="A9" t="s">
        <v>36</v>
      </c>
      <c r="B9" t="s">
        <v>37</v>
      </c>
      <c r="C9" t="s">
        <v>32</v>
      </c>
      <c r="D9" t="s">
        <v>26</v>
      </c>
      <c r="E9" t="s">
        <v>38</v>
      </c>
      <c r="F9">
        <v>33</v>
      </c>
      <c r="G9" t="s">
        <v>13</v>
      </c>
      <c r="H9" t="s">
        <v>29</v>
      </c>
    </row>
    <row r="10" spans="1:8" x14ac:dyDescent="0.3">
      <c r="A10" t="s">
        <v>39</v>
      </c>
      <c r="B10" t="s">
        <v>40</v>
      </c>
      <c r="C10" t="s">
        <v>32</v>
      </c>
      <c r="D10" t="s">
        <v>17</v>
      </c>
      <c r="E10" t="s">
        <v>41</v>
      </c>
      <c r="F10">
        <v>22</v>
      </c>
      <c r="G10" t="s">
        <v>13</v>
      </c>
      <c r="H10" t="s">
        <v>18</v>
      </c>
    </row>
    <row r="11" spans="1:8" x14ac:dyDescent="0.3">
      <c r="A11" t="s">
        <v>42</v>
      </c>
      <c r="B11" t="s">
        <v>43</v>
      </c>
      <c r="C11" t="s">
        <v>44</v>
      </c>
      <c r="D11" t="s">
        <v>11</v>
      </c>
      <c r="E11" t="s">
        <v>12</v>
      </c>
      <c r="F11">
        <v>36</v>
      </c>
      <c r="G11" t="s">
        <v>13</v>
      </c>
      <c r="H11" t="s">
        <v>29</v>
      </c>
    </row>
    <row r="12" spans="1:8" x14ac:dyDescent="0.3">
      <c r="A12" t="s">
        <v>45</v>
      </c>
      <c r="B12" t="s">
        <v>46</v>
      </c>
      <c r="C12" t="s">
        <v>44</v>
      </c>
      <c r="D12" t="s">
        <v>17</v>
      </c>
      <c r="E12" t="s">
        <v>12</v>
      </c>
      <c r="F12">
        <v>31</v>
      </c>
      <c r="G12" t="s">
        <v>13</v>
      </c>
      <c r="H12" t="s">
        <v>18</v>
      </c>
    </row>
    <row r="13" spans="1:8" x14ac:dyDescent="0.3">
      <c r="A13" t="s">
        <v>47</v>
      </c>
      <c r="B13" t="s">
        <v>48</v>
      </c>
      <c r="C13" t="s">
        <v>44</v>
      </c>
      <c r="D13" t="s">
        <v>26</v>
      </c>
      <c r="E13" t="s">
        <v>49</v>
      </c>
      <c r="F13">
        <v>36</v>
      </c>
      <c r="G13" t="s">
        <v>13</v>
      </c>
      <c r="H13" t="s">
        <v>14</v>
      </c>
    </row>
    <row r="14" spans="1:8" x14ac:dyDescent="0.3">
      <c r="A14" t="s">
        <v>50</v>
      </c>
      <c r="B14" t="s">
        <v>51</v>
      </c>
      <c r="C14" t="s">
        <v>44</v>
      </c>
      <c r="D14" t="s">
        <v>21</v>
      </c>
      <c r="E14" t="s">
        <v>12</v>
      </c>
      <c r="F14">
        <v>39</v>
      </c>
      <c r="G14" t="s">
        <v>13</v>
      </c>
      <c r="H14" t="s">
        <v>23</v>
      </c>
    </row>
    <row r="15" spans="1:8" x14ac:dyDescent="0.3">
      <c r="A15" t="s">
        <v>52</v>
      </c>
      <c r="B15" t="s">
        <v>53</v>
      </c>
      <c r="C15" t="s">
        <v>54</v>
      </c>
      <c r="D15" t="s">
        <v>11</v>
      </c>
      <c r="E15" t="s">
        <v>12</v>
      </c>
      <c r="F15">
        <v>27</v>
      </c>
      <c r="G15" t="s">
        <v>22</v>
      </c>
      <c r="H15" t="s">
        <v>14</v>
      </c>
    </row>
    <row r="16" spans="1:8" x14ac:dyDescent="0.3">
      <c r="A16" t="s">
        <v>55</v>
      </c>
      <c r="B16" t="s">
        <v>56</v>
      </c>
      <c r="C16" t="s">
        <v>54</v>
      </c>
      <c r="D16" t="s">
        <v>26</v>
      </c>
      <c r="E16" t="s">
        <v>57</v>
      </c>
      <c r="F16">
        <v>36</v>
      </c>
      <c r="G16" t="s">
        <v>13</v>
      </c>
      <c r="H16" t="s">
        <v>18</v>
      </c>
    </row>
    <row r="17" spans="1:8" x14ac:dyDescent="0.3">
      <c r="A17" t="s">
        <v>58</v>
      </c>
      <c r="B17" t="s">
        <v>59</v>
      </c>
      <c r="C17" t="s">
        <v>54</v>
      </c>
      <c r="D17" t="s">
        <v>26</v>
      </c>
      <c r="E17" t="s">
        <v>57</v>
      </c>
      <c r="F17">
        <v>36</v>
      </c>
      <c r="G17" t="s">
        <v>22</v>
      </c>
      <c r="H17" t="s">
        <v>14</v>
      </c>
    </row>
    <row r="18" spans="1:8" x14ac:dyDescent="0.3">
      <c r="A18" t="s">
        <v>60</v>
      </c>
      <c r="B18" t="s">
        <v>61</v>
      </c>
      <c r="C18" t="s">
        <v>54</v>
      </c>
      <c r="D18" t="s">
        <v>17</v>
      </c>
      <c r="E18" t="s">
        <v>12</v>
      </c>
      <c r="F18">
        <v>33</v>
      </c>
      <c r="G18" t="s">
        <v>13</v>
      </c>
      <c r="H18" t="s">
        <v>62</v>
      </c>
    </row>
    <row r="19" spans="1:8" x14ac:dyDescent="0.3">
      <c r="A19" t="s">
        <v>63</v>
      </c>
      <c r="B19" t="s">
        <v>64</v>
      </c>
      <c r="C19" t="s">
        <v>65</v>
      </c>
      <c r="D19" t="s">
        <v>11</v>
      </c>
      <c r="E19" t="s">
        <v>49</v>
      </c>
      <c r="F19">
        <v>38</v>
      </c>
      <c r="G19" t="s">
        <v>22</v>
      </c>
      <c r="H19" t="s">
        <v>62</v>
      </c>
    </row>
    <row r="20" spans="1:8" x14ac:dyDescent="0.3">
      <c r="A20" t="s">
        <v>66</v>
      </c>
      <c r="B20" t="s">
        <v>67</v>
      </c>
      <c r="C20" t="s">
        <v>65</v>
      </c>
      <c r="D20" t="s">
        <v>17</v>
      </c>
      <c r="E20" t="s">
        <v>12</v>
      </c>
      <c r="F20">
        <v>30</v>
      </c>
      <c r="G20" t="s">
        <v>22</v>
      </c>
      <c r="H20" t="s">
        <v>68</v>
      </c>
    </row>
    <row r="21" spans="1:8" x14ac:dyDescent="0.3">
      <c r="A21" t="s">
        <v>69</v>
      </c>
      <c r="B21" t="s">
        <v>70</v>
      </c>
      <c r="C21" t="s">
        <v>65</v>
      </c>
      <c r="D21" t="s">
        <v>26</v>
      </c>
      <c r="E21" t="s">
        <v>49</v>
      </c>
      <c r="F21">
        <v>33</v>
      </c>
      <c r="G21" t="s">
        <v>13</v>
      </c>
      <c r="H21" t="s">
        <v>29</v>
      </c>
    </row>
    <row r="22" spans="1:8" x14ac:dyDescent="0.3">
      <c r="A22" t="s">
        <v>71</v>
      </c>
      <c r="B22" t="s">
        <v>72</v>
      </c>
      <c r="C22" t="s">
        <v>65</v>
      </c>
      <c r="D22" t="s">
        <v>26</v>
      </c>
      <c r="E22" t="s">
        <v>12</v>
      </c>
      <c r="F22">
        <v>31</v>
      </c>
      <c r="G22" t="s">
        <v>22</v>
      </c>
      <c r="H22" t="s">
        <v>73</v>
      </c>
    </row>
    <row r="23" spans="1:8" x14ac:dyDescent="0.3">
      <c r="A23" t="s">
        <v>74</v>
      </c>
      <c r="B23" t="s">
        <v>75</v>
      </c>
      <c r="C23" t="s">
        <v>76</v>
      </c>
      <c r="D23" t="s">
        <v>21</v>
      </c>
      <c r="E23" t="s">
        <v>77</v>
      </c>
      <c r="F23">
        <v>34</v>
      </c>
      <c r="G23" t="s">
        <v>13</v>
      </c>
      <c r="H23" t="s">
        <v>23</v>
      </c>
    </row>
    <row r="24" spans="1:8" x14ac:dyDescent="0.3">
      <c r="A24" t="s">
        <v>78</v>
      </c>
      <c r="B24" t="s">
        <v>79</v>
      </c>
      <c r="C24" t="s">
        <v>76</v>
      </c>
      <c r="D24" t="s">
        <v>17</v>
      </c>
      <c r="E24" t="s">
        <v>12</v>
      </c>
      <c r="F24">
        <v>34</v>
      </c>
      <c r="G24" t="s">
        <v>13</v>
      </c>
      <c r="H24" t="s">
        <v>62</v>
      </c>
    </row>
    <row r="25" spans="1:8" x14ac:dyDescent="0.3">
      <c r="A25" t="s">
        <v>80</v>
      </c>
      <c r="B25" t="s">
        <v>81</v>
      </c>
      <c r="C25" t="s">
        <v>76</v>
      </c>
      <c r="D25" t="s">
        <v>17</v>
      </c>
      <c r="E25" t="s">
        <v>38</v>
      </c>
      <c r="F25">
        <v>35</v>
      </c>
      <c r="G25" t="s">
        <v>22</v>
      </c>
      <c r="H25" t="s">
        <v>82</v>
      </c>
    </row>
    <row r="26" spans="1:8" x14ac:dyDescent="0.3">
      <c r="A26" t="s">
        <v>83</v>
      </c>
      <c r="B26" t="s">
        <v>84</v>
      </c>
      <c r="C26" t="s">
        <v>76</v>
      </c>
      <c r="D26" t="s">
        <v>11</v>
      </c>
      <c r="E26" t="s">
        <v>12</v>
      </c>
      <c r="F26">
        <v>23</v>
      </c>
      <c r="G26" t="s">
        <v>22</v>
      </c>
      <c r="H26" t="s">
        <v>62</v>
      </c>
    </row>
    <row r="27" spans="1:8" x14ac:dyDescent="0.3">
      <c r="A27" t="s">
        <v>85</v>
      </c>
      <c r="B27" t="s">
        <v>86</v>
      </c>
      <c r="C27" t="s">
        <v>87</v>
      </c>
      <c r="D27" t="s">
        <v>26</v>
      </c>
      <c r="E27" t="s">
        <v>77</v>
      </c>
      <c r="F27">
        <v>31</v>
      </c>
      <c r="G27" t="s">
        <v>13</v>
      </c>
      <c r="H27" t="s">
        <v>62</v>
      </c>
    </row>
    <row r="28" spans="1:8" x14ac:dyDescent="0.3">
      <c r="A28" t="s">
        <v>88</v>
      </c>
      <c r="B28" t="s">
        <v>89</v>
      </c>
      <c r="C28" t="s">
        <v>87</v>
      </c>
      <c r="D28" t="s">
        <v>17</v>
      </c>
      <c r="E28" t="s">
        <v>12</v>
      </c>
      <c r="F28">
        <v>25</v>
      </c>
      <c r="G28" t="s">
        <v>22</v>
      </c>
      <c r="H28" t="s">
        <v>90</v>
      </c>
    </row>
    <row r="29" spans="1:8" x14ac:dyDescent="0.3">
      <c r="A29" t="s">
        <v>91</v>
      </c>
      <c r="B29" t="s">
        <v>92</v>
      </c>
      <c r="C29" t="s">
        <v>87</v>
      </c>
      <c r="D29" t="s">
        <v>21</v>
      </c>
      <c r="E29" t="s">
        <v>12</v>
      </c>
      <c r="F29">
        <v>31</v>
      </c>
      <c r="G29" t="s">
        <v>13</v>
      </c>
      <c r="H29" t="s">
        <v>23</v>
      </c>
    </row>
    <row r="30" spans="1:8" x14ac:dyDescent="0.3">
      <c r="A30" t="s">
        <v>93</v>
      </c>
      <c r="B30" t="s">
        <v>94</v>
      </c>
      <c r="C30" t="s">
        <v>87</v>
      </c>
      <c r="D30" t="s">
        <v>17</v>
      </c>
      <c r="E30" t="s">
        <v>95</v>
      </c>
      <c r="F30">
        <v>29</v>
      </c>
      <c r="G30" t="s">
        <v>13</v>
      </c>
      <c r="H30" t="s">
        <v>18</v>
      </c>
    </row>
    <row r="31" spans="1:8" x14ac:dyDescent="0.3">
      <c r="A31" t="s">
        <v>96</v>
      </c>
      <c r="B31" t="s">
        <v>97</v>
      </c>
      <c r="C31" t="s">
        <v>98</v>
      </c>
      <c r="D31" t="s">
        <v>11</v>
      </c>
      <c r="E31" t="s">
        <v>12</v>
      </c>
      <c r="F31">
        <v>24</v>
      </c>
      <c r="G31" t="s">
        <v>22</v>
      </c>
      <c r="H31" t="s">
        <v>73</v>
      </c>
    </row>
    <row r="32" spans="1:8" x14ac:dyDescent="0.3">
      <c r="A32" t="s">
        <v>99</v>
      </c>
      <c r="B32" t="s">
        <v>100</v>
      </c>
      <c r="C32" t="s">
        <v>98</v>
      </c>
      <c r="D32" t="s">
        <v>17</v>
      </c>
      <c r="E32" t="s">
        <v>12</v>
      </c>
      <c r="F32">
        <v>35</v>
      </c>
      <c r="G32" t="s">
        <v>13</v>
      </c>
      <c r="H32" t="s">
        <v>29</v>
      </c>
    </row>
    <row r="33" spans="1:8" x14ac:dyDescent="0.3">
      <c r="A33" t="s">
        <v>101</v>
      </c>
      <c r="B33" t="s">
        <v>102</v>
      </c>
      <c r="C33" t="s">
        <v>98</v>
      </c>
      <c r="D33" t="s">
        <v>21</v>
      </c>
      <c r="E33" t="s">
        <v>95</v>
      </c>
      <c r="F33">
        <v>33</v>
      </c>
      <c r="G33" t="s">
        <v>13</v>
      </c>
      <c r="H33" t="s">
        <v>14</v>
      </c>
    </row>
    <row r="34" spans="1:8" x14ac:dyDescent="0.3">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F21734D-B531-478E-9640-DEEE360B04C7}">
  <ds:schemaRefs/>
</ds:datastoreItem>
</file>

<file path=customXml/itemProps2.xml><?xml version="1.0" encoding="utf-8"?>
<ds:datastoreItem xmlns:ds="http://schemas.openxmlformats.org/officeDocument/2006/customXml" ds:itemID="{4BB3C2A1-0B62-4AE1-A39C-CB0A04FF2C13}">
  <ds:schemaRefs/>
</ds:datastoreItem>
</file>

<file path=customXml/itemProps3.xml><?xml version="1.0" encoding="utf-8"?>
<ds:datastoreItem xmlns:ds="http://schemas.openxmlformats.org/officeDocument/2006/customXml" ds:itemID="{E2D510F3-72A9-4D3F-B4EA-DC61B7AE453D}">
  <ds:schemaRefs/>
</ds:datastoreItem>
</file>

<file path=customXml/itemProps4.xml><?xml version="1.0" encoding="utf-8"?>
<ds:datastoreItem xmlns:ds="http://schemas.openxmlformats.org/officeDocument/2006/customXml" ds:itemID="{94F543F4-0B43-4B7F-B094-70FC16A72B13}">
  <ds:schemaRefs/>
</ds:datastoreItem>
</file>

<file path=customXml/itemProps5.xml><?xml version="1.0" encoding="utf-8"?>
<ds:datastoreItem xmlns:ds="http://schemas.openxmlformats.org/officeDocument/2006/customXml" ds:itemID="{63D0FA60-AA69-4BBE-983F-FD7F740145B2}">
  <ds:schemaRefs/>
</ds:datastoreItem>
</file>

<file path=customXml/itemProps6.xml><?xml version="1.0" encoding="utf-8"?>
<ds:datastoreItem xmlns:ds="http://schemas.openxmlformats.org/officeDocument/2006/customXml" ds:itemID="{E10BB8C7-3D6F-4A06-8BB5-06EBC1CFDD60}">
  <ds:schemaRefs/>
</ds:datastoreItem>
</file>

<file path=customXml/itemProps7.xml><?xml version="1.0" encoding="utf-8"?>
<ds:datastoreItem xmlns:ds="http://schemas.openxmlformats.org/officeDocument/2006/customXml" ds:itemID="{B5C354EC-D039-4DDF-814D-A8417291286B}">
  <ds:schemaRefs/>
</ds:datastoreItem>
</file>

<file path=customXml/itemProps8.xml><?xml version="1.0" encoding="utf-8"?>
<ds:datastoreItem xmlns:ds="http://schemas.openxmlformats.org/officeDocument/2006/customXml" ds:itemID="{16FE3020-1560-45FE-A7C2-0EAAFE975BC0}">
  <ds:schemaRefs/>
</ds:datastoreItem>
</file>

<file path=customXml/itemProps9.xml><?xml version="1.0" encoding="utf-8"?>
<ds:datastoreItem xmlns:ds="http://schemas.openxmlformats.org/officeDocument/2006/customXml" ds:itemID="{CA24A3F2-2CFF-4A25-86C8-8DB4771B9DC7}">
  <ds:schemaRefs/>
</ds:datastoreItem>
</file>

<file path=customXml/itemProps10.xml><?xml version="1.0" encoding="utf-8"?>
<ds:datastoreItem xmlns:ds="http://schemas.openxmlformats.org/officeDocument/2006/customXml" ds:itemID="{C0F46669-E95E-47F4-8AB1-57AAE6E246D6}">
  <ds:schemaRefs/>
</ds:datastoreItem>
</file>

<file path=customXml/itemProps11.xml><?xml version="1.0" encoding="utf-8"?>
<ds:datastoreItem xmlns:ds="http://schemas.openxmlformats.org/officeDocument/2006/customXml" ds:itemID="{D71F43C6-C869-4A33-8D3C-9CC617BE8F7E}">
  <ds:schemaRefs/>
</ds:datastoreItem>
</file>

<file path=customXml/itemProps12.xml><?xml version="1.0" encoding="utf-8"?>
<ds:datastoreItem xmlns:ds="http://schemas.openxmlformats.org/officeDocument/2006/customXml" ds:itemID="{EDF2B2AB-F10F-4B51-B56F-C8DD9335D5AD}">
  <ds:schemaRefs/>
</ds:datastoreItem>
</file>

<file path=customXml/itemProps13.xml><?xml version="1.0" encoding="utf-8"?>
<ds:datastoreItem xmlns:ds="http://schemas.openxmlformats.org/officeDocument/2006/customXml" ds:itemID="{57791518-A7A0-40C5-BD5A-DC5993D278F2}">
  <ds:schemaRefs/>
</ds:datastoreItem>
</file>

<file path=customXml/itemProps14.xml><?xml version="1.0" encoding="utf-8"?>
<ds:datastoreItem xmlns:ds="http://schemas.openxmlformats.org/officeDocument/2006/customXml" ds:itemID="{2E091A7F-FC7C-48C8-829E-7478585879C3}">
  <ds:schemaRefs/>
</ds:datastoreItem>
</file>

<file path=customXml/itemProps15.xml><?xml version="1.0" encoding="utf-8"?>
<ds:datastoreItem xmlns:ds="http://schemas.openxmlformats.org/officeDocument/2006/customXml" ds:itemID="{73F963BB-04B0-42B0-9A68-63F928094CAA}">
  <ds:schemaRefs/>
</ds:datastoreItem>
</file>

<file path=customXml/itemProps16.xml><?xml version="1.0" encoding="utf-8"?>
<ds:datastoreItem xmlns:ds="http://schemas.openxmlformats.org/officeDocument/2006/customXml" ds:itemID="{50EC191C-72F3-4764-8CB5-4B2BBF182E4E}">
  <ds:schemaRefs/>
</ds:datastoreItem>
</file>

<file path=customXml/itemProps17.xml><?xml version="1.0" encoding="utf-8"?>
<ds:datastoreItem xmlns:ds="http://schemas.openxmlformats.org/officeDocument/2006/customXml" ds:itemID="{5A782282-EAD0-4E1E-A796-94BB9BD0477F}">
  <ds:schemaRefs/>
</ds:datastoreItem>
</file>

<file path=customXml/itemProps18.xml><?xml version="1.0" encoding="utf-8"?>
<ds:datastoreItem xmlns:ds="http://schemas.openxmlformats.org/officeDocument/2006/customXml" ds:itemID="{958C4B34-6AA3-4B2A-A873-0BBD8ECBE904}">
  <ds:schemaRefs/>
</ds:datastoreItem>
</file>

<file path=customXml/itemProps19.xml><?xml version="1.0" encoding="utf-8"?>
<ds:datastoreItem xmlns:ds="http://schemas.openxmlformats.org/officeDocument/2006/customXml" ds:itemID="{4B576FCD-5849-40EA-BE0F-B0C15AFDB1E5}">
  <ds:schemaRefs/>
</ds:datastoreItem>
</file>

<file path=customXml/itemProps20.xml><?xml version="1.0" encoding="utf-8"?>
<ds:datastoreItem xmlns:ds="http://schemas.openxmlformats.org/officeDocument/2006/customXml" ds:itemID="{A2D9ED6C-FE17-4E66-A706-73D95BE24CC0}">
  <ds:schemaRefs/>
</ds:datastoreItem>
</file>

<file path=customXml/itemProps21.xml><?xml version="1.0" encoding="utf-8"?>
<ds:datastoreItem xmlns:ds="http://schemas.openxmlformats.org/officeDocument/2006/customXml" ds:itemID="{5064412B-FBC8-4978-A8F6-823978A54BA9}">
  <ds:schemaRefs>
    <ds:schemaRef ds:uri="http://schemas.microsoft.com/DataMashup"/>
  </ds:schemaRefs>
</ds:datastoreItem>
</file>

<file path=customXml/itemProps22.xml><?xml version="1.0" encoding="utf-8"?>
<ds:datastoreItem xmlns:ds="http://schemas.openxmlformats.org/officeDocument/2006/customXml" ds:itemID="{E06B4ADB-B638-46F2-981A-59A326D39A32}">
  <ds:schemaRefs/>
</ds:datastoreItem>
</file>

<file path=customXml/itemProps23.xml><?xml version="1.0" encoding="utf-8"?>
<ds:datastoreItem xmlns:ds="http://schemas.openxmlformats.org/officeDocument/2006/customXml" ds:itemID="{0AFE4C91-F893-4E14-9364-F9EC1E9F7F48}">
  <ds:schemaRefs/>
</ds:datastoreItem>
</file>

<file path=customXml/itemProps24.xml><?xml version="1.0" encoding="utf-8"?>
<ds:datastoreItem xmlns:ds="http://schemas.openxmlformats.org/officeDocument/2006/customXml" ds:itemID="{7ED6E3FA-B1C0-4533-AE0E-5DCE85E2D950}">
  <ds:schemaRefs/>
</ds:datastoreItem>
</file>

<file path=customXml/itemProps25.xml><?xml version="1.0" encoding="utf-8"?>
<ds:datastoreItem xmlns:ds="http://schemas.openxmlformats.org/officeDocument/2006/customXml" ds:itemID="{A5795DD2-3B24-44ED-A267-3FD1ED65D3AA}">
  <ds:schemaRefs/>
</ds:datastoreItem>
</file>

<file path=customXml/itemProps26.xml><?xml version="1.0" encoding="utf-8"?>
<ds:datastoreItem xmlns:ds="http://schemas.openxmlformats.org/officeDocument/2006/customXml" ds:itemID="{90DC2460-4770-4CE8-8F15-F542C3A291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fact_player</vt:lpstr>
      <vt:lpstr>Match_Summary</vt:lpstr>
      <vt:lpstr>Team Performance Dashboard</vt:lpstr>
      <vt:lpstr>Player_Summary</vt:lpstr>
      <vt:lpstr>Player Performance Dashboard</vt:lpstr>
      <vt:lpstr>Sheet6</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 Maurya</dc:creator>
  <cp:lastModifiedBy>Shreyansh Maurya</cp:lastModifiedBy>
  <dcterms:created xsi:type="dcterms:W3CDTF">2026-04-10T14:47:18Z</dcterms:created>
  <dcterms:modified xsi:type="dcterms:W3CDTF">2026-04-11T08:59:20Z</dcterms:modified>
</cp:coreProperties>
</file>